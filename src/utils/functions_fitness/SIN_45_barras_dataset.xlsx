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onsbr-my.sharepoint.com/personal/pedrovictor_veras_ons_org_br/Documents/Documentos/GitHub/Repopulation-With-Elite-Set/lib/rce_framework_V2.0/src/utils/functions_fitness/"/>
    </mc:Choice>
  </mc:AlternateContent>
  <xr:revisionPtr revIDLastSave="57" documentId="11_8EC1AAD4A323D9C13E32E2240A8748B5858C0E33" xr6:coauthVersionLast="47" xr6:coauthVersionMax="47" xr10:uidLastSave="{F9FD6C47-D2E0-4572-8EA7-000E3EC70176}"/>
  <bookViews>
    <workbookView minimized="1" xWindow="1884" yWindow="1884" windowWidth="5928" windowHeight="7104" activeTab="4" xr2:uid="{00000000-000D-0000-FFFF-FFFF00000000}"/>
  </bookViews>
  <sheets>
    <sheet name="bus" sheetId="1" r:id="rId1"/>
    <sheet name="line" sheetId="2" r:id="rId2"/>
    <sheet name="load_gen" sheetId="3" r:id="rId3"/>
    <sheet name="shunt" sheetId="4" r:id="rId4"/>
    <sheet name="Planilha1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" i="1" l="1"/>
  <c r="C3" i="1"/>
  <c r="C5" i="1"/>
  <c r="C6" i="1"/>
  <c r="C8" i="1"/>
  <c r="C9" i="1"/>
  <c r="C10" i="1"/>
  <c r="C12" i="1"/>
  <c r="C13" i="1"/>
  <c r="C14" i="1"/>
  <c r="C15" i="1"/>
  <c r="C16" i="1"/>
  <c r="C17" i="1"/>
  <c r="C18" i="1"/>
  <c r="C20" i="1"/>
  <c r="C21" i="1"/>
  <c r="C22" i="1"/>
  <c r="C23" i="1"/>
  <c r="C24" i="1"/>
  <c r="C25" i="1"/>
  <c r="C26" i="1"/>
  <c r="C27" i="1"/>
  <c r="C28" i="1"/>
  <c r="C29" i="1"/>
  <c r="C31" i="1"/>
  <c r="C34" i="1"/>
  <c r="C36" i="1"/>
  <c r="C37" i="1"/>
  <c r="C38" i="1"/>
  <c r="C40" i="1"/>
  <c r="C41" i="1"/>
  <c r="C42" i="1"/>
  <c r="C43" i="1"/>
  <c r="C44" i="1"/>
  <c r="C45" i="1"/>
  <c r="C46" i="1"/>
  <c r="C2" i="1"/>
</calcChain>
</file>

<file path=xl/sharedStrings.xml><?xml version="1.0" encoding="utf-8"?>
<sst xmlns="http://schemas.openxmlformats.org/spreadsheetml/2006/main" count="120" uniqueCount="64">
  <si>
    <t>Barra</t>
  </si>
  <si>
    <t>Nome</t>
  </si>
  <si>
    <t>IVAIPORA.525</t>
  </si>
  <si>
    <t>LONDRINA.525</t>
  </si>
  <si>
    <t>BARRACAO13.8</t>
  </si>
  <si>
    <t>SIDEROPOL230</t>
  </si>
  <si>
    <t>FARROUPIL230</t>
  </si>
  <si>
    <t>P.FUNDO.13.8</t>
  </si>
  <si>
    <t>P.FUNDO.230</t>
  </si>
  <si>
    <t>XANXERE.230</t>
  </si>
  <si>
    <t>P.BRANCO.230</t>
  </si>
  <si>
    <t>S.OSORIO13.8</t>
  </si>
  <si>
    <t>S.OSORIO.230</t>
  </si>
  <si>
    <t>AREIA.230</t>
  </si>
  <si>
    <t>S.MATEUS.230</t>
  </si>
  <si>
    <t>CURITIBA.230</t>
  </si>
  <si>
    <t>JOINVILE.230</t>
  </si>
  <si>
    <t>BLUMENAU.230</t>
  </si>
  <si>
    <t>R.QUEIMAD230</t>
  </si>
  <si>
    <t>F.AREIA.13.8</t>
  </si>
  <si>
    <t>AREIA.525</t>
  </si>
  <si>
    <t>CURITIBA.525</t>
  </si>
  <si>
    <t>CUR.NORTE525</t>
  </si>
  <si>
    <t>BLUMENAU.525</t>
  </si>
  <si>
    <t>BARRACAO.525</t>
  </si>
  <si>
    <t>GRAVATAI.525</t>
  </si>
  <si>
    <t>V.AIRES.525</t>
  </si>
  <si>
    <t>PINHEIRO.525</t>
  </si>
  <si>
    <t>S.SANTIA13.8</t>
  </si>
  <si>
    <t>S.SANTIAG525</t>
  </si>
  <si>
    <t>J.LAC.A.13.8</t>
  </si>
  <si>
    <t>J.LACERDA138</t>
  </si>
  <si>
    <t>J.LAC.B.13.8</t>
  </si>
  <si>
    <t>J.LAC.C.13.8</t>
  </si>
  <si>
    <t>J.LACERDA230</t>
  </si>
  <si>
    <t>SEGREDO.13.8</t>
  </si>
  <si>
    <t>SEGREDO.525</t>
  </si>
  <si>
    <t>CECI.230</t>
  </si>
  <si>
    <t>GRAVATAI.230</t>
  </si>
  <si>
    <t>ITAUBA.13.8</t>
  </si>
  <si>
    <t>ITAUBA.230</t>
  </si>
  <si>
    <t>V.AIRES.230</t>
  </si>
  <si>
    <t>APUCARANA230</t>
  </si>
  <si>
    <t>LONDRINA.230</t>
  </si>
  <si>
    <t>MARINGA.230</t>
  </si>
  <si>
    <t>C.MOURAO.230</t>
  </si>
  <si>
    <t>FORQUILHI230</t>
  </si>
  <si>
    <t>De</t>
  </si>
  <si>
    <t>Para</t>
  </si>
  <si>
    <t>R(pu)</t>
  </si>
  <si>
    <t>X(pu)</t>
  </si>
  <si>
    <t>B(pu)</t>
  </si>
  <si>
    <t>Tipo de Barra (*)</t>
  </si>
  <si>
    <t>Potência Ativa (MW)</t>
  </si>
  <si>
    <t>Carga Ativa (MW)</t>
  </si>
  <si>
    <t>Carga Reativa (Mvar)</t>
  </si>
  <si>
    <t>Susceptância Shunt B(pu)</t>
  </si>
  <si>
    <t>13.8</t>
  </si>
  <si>
    <t>Tipo da Linha (KV)</t>
  </si>
  <si>
    <t>tensao (kv)</t>
  </si>
  <si>
    <t>usinas</t>
  </si>
  <si>
    <t>regiao</t>
  </si>
  <si>
    <t>latitude</t>
  </si>
  <si>
    <t>longitude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</si>
</sst>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  <font>
      <b/>
      <sz val="11"/>
      <color theme="0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0" fontId="3" fillId="0" borderId="2" xfId="0" applyFont="1" applyBorder="1" applyAlignment="1">
      <alignment horizontal="center" vertical="top"/>
    </xf>
  </cellXfs>
  <cellStyles count="1">
    <cellStyle name="Normal" xfId="0" builtinId="0"/>
  </cellStyles>
  <dxfs count="7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24AC9D-2685-4B7E-ADE4-2E8029CCBAEF}" name="Tabela1" displayName="Tabela1" ref="A1:C46" totalsRowShown="0" headerRowDxfId="0" dataDxfId="1" headerRowBorderDxfId="5" tableBorderDxfId="6">
  <autoFilter ref="A1:C46" xr:uid="{7B24AC9D-2685-4B7E-ADE4-2E8029CCBAEF}"/>
  <tableColumns count="3">
    <tableColumn id="1" xr3:uid="{D16DFC80-BE71-4FD6-A806-48E0DE7DE4AD}" name="Barra" dataDxfId="4"/>
    <tableColumn id="2" xr3:uid="{F6021F41-3384-46F4-B7DC-7D407DBC9D88}" name="Nome" dataDxfId="3"/>
    <tableColumn id="3" xr3:uid="{DFB5CB51-9773-4F32-B304-CB77686A9493}" name="Tipo da Linha (KV)" dataDxfId="2">
      <calculatedColumnFormula>RIGHT(B2,3)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6"/>
  <sheetViews>
    <sheetView workbookViewId="0">
      <selection activeCell="D10" sqref="D10"/>
    </sheetView>
  </sheetViews>
  <sheetFormatPr defaultRowHeight="14.4" x14ac:dyDescent="0.3"/>
  <cols>
    <col min="1" max="1" width="9.88671875" style="2" bestFit="1" customWidth="1"/>
    <col min="2" max="2" width="14.44140625" style="2" bestFit="1" customWidth="1"/>
    <col min="3" max="3" width="20.88671875" style="2" bestFit="1" customWidth="1"/>
  </cols>
  <sheetData>
    <row r="1" spans="1:3" x14ac:dyDescent="0.3">
      <c r="A1" s="3" t="s">
        <v>0</v>
      </c>
      <c r="B1" s="3" t="s">
        <v>1</v>
      </c>
      <c r="C1" s="3" t="s">
        <v>58</v>
      </c>
    </row>
    <row r="2" spans="1:3" x14ac:dyDescent="0.3">
      <c r="A2" s="2">
        <v>1</v>
      </c>
      <c r="B2" s="2" t="s">
        <v>2</v>
      </c>
      <c r="C2" s="2" t="str">
        <f>RIGHT(B2,3)</f>
        <v>525</v>
      </c>
    </row>
    <row r="3" spans="1:3" x14ac:dyDescent="0.3">
      <c r="A3" s="2">
        <v>2</v>
      </c>
      <c r="B3" s="2" t="s">
        <v>3</v>
      </c>
      <c r="C3" s="2" t="str">
        <f t="shared" ref="C3:C46" si="0">RIGHT(B3,3)</f>
        <v>525</v>
      </c>
    </row>
    <row r="4" spans="1:3" x14ac:dyDescent="0.3">
      <c r="A4" s="2">
        <v>3</v>
      </c>
      <c r="B4" s="2" t="s">
        <v>4</v>
      </c>
      <c r="C4" s="2" t="s">
        <v>57</v>
      </c>
    </row>
    <row r="5" spans="1:3" x14ac:dyDescent="0.3">
      <c r="A5" s="2">
        <v>4</v>
      </c>
      <c r="B5" s="2" t="s">
        <v>5</v>
      </c>
      <c r="C5" s="2" t="str">
        <f t="shared" si="0"/>
        <v>230</v>
      </c>
    </row>
    <row r="6" spans="1:3" x14ac:dyDescent="0.3">
      <c r="A6" s="2">
        <v>5</v>
      </c>
      <c r="B6" s="2" t="s">
        <v>6</v>
      </c>
      <c r="C6" s="2" t="str">
        <f t="shared" si="0"/>
        <v>230</v>
      </c>
    </row>
    <row r="7" spans="1:3" x14ac:dyDescent="0.3">
      <c r="A7" s="2">
        <v>6</v>
      </c>
      <c r="B7" s="2" t="s">
        <v>7</v>
      </c>
      <c r="C7" s="2" t="s">
        <v>57</v>
      </c>
    </row>
    <row r="8" spans="1:3" x14ac:dyDescent="0.3">
      <c r="A8" s="2">
        <v>7</v>
      </c>
      <c r="B8" s="2" t="s">
        <v>8</v>
      </c>
      <c r="C8" s="2" t="str">
        <f t="shared" si="0"/>
        <v>230</v>
      </c>
    </row>
    <row r="9" spans="1:3" x14ac:dyDescent="0.3">
      <c r="A9" s="2">
        <v>8</v>
      </c>
      <c r="B9" s="2" t="s">
        <v>9</v>
      </c>
      <c r="C9" s="2" t="str">
        <f t="shared" si="0"/>
        <v>230</v>
      </c>
    </row>
    <row r="10" spans="1:3" x14ac:dyDescent="0.3">
      <c r="A10" s="2">
        <v>9</v>
      </c>
      <c r="B10" s="2" t="s">
        <v>10</v>
      </c>
      <c r="C10" s="2" t="str">
        <f t="shared" si="0"/>
        <v>230</v>
      </c>
    </row>
    <row r="11" spans="1:3" x14ac:dyDescent="0.3">
      <c r="A11" s="2">
        <v>10</v>
      </c>
      <c r="B11" s="2" t="s">
        <v>11</v>
      </c>
      <c r="C11" s="2" t="s">
        <v>57</v>
      </c>
    </row>
    <row r="12" spans="1:3" x14ac:dyDescent="0.3">
      <c r="A12" s="2">
        <v>11</v>
      </c>
      <c r="B12" s="2" t="s">
        <v>12</v>
      </c>
      <c r="C12" s="2" t="str">
        <f t="shared" si="0"/>
        <v>230</v>
      </c>
    </row>
    <row r="13" spans="1:3" x14ac:dyDescent="0.3">
      <c r="A13" s="2">
        <v>12</v>
      </c>
      <c r="B13" s="2" t="s">
        <v>13</v>
      </c>
      <c r="C13" s="2" t="str">
        <f t="shared" si="0"/>
        <v>230</v>
      </c>
    </row>
    <row r="14" spans="1:3" x14ac:dyDescent="0.3">
      <c r="A14" s="2">
        <v>13</v>
      </c>
      <c r="B14" s="2" t="s">
        <v>14</v>
      </c>
      <c r="C14" s="2" t="str">
        <f t="shared" si="0"/>
        <v>230</v>
      </c>
    </row>
    <row r="15" spans="1:3" x14ac:dyDescent="0.3">
      <c r="A15" s="2">
        <v>14</v>
      </c>
      <c r="B15" s="2" t="s">
        <v>15</v>
      </c>
      <c r="C15" s="2" t="str">
        <f t="shared" si="0"/>
        <v>230</v>
      </c>
    </row>
    <row r="16" spans="1:3" x14ac:dyDescent="0.3">
      <c r="A16" s="2">
        <v>15</v>
      </c>
      <c r="B16" s="2" t="s">
        <v>16</v>
      </c>
      <c r="C16" s="2" t="str">
        <f t="shared" si="0"/>
        <v>230</v>
      </c>
    </row>
    <row r="17" spans="1:3" x14ac:dyDescent="0.3">
      <c r="A17" s="2">
        <v>16</v>
      </c>
      <c r="B17" s="2" t="s">
        <v>17</v>
      </c>
      <c r="C17" s="2" t="str">
        <f t="shared" si="0"/>
        <v>230</v>
      </c>
    </row>
    <row r="18" spans="1:3" x14ac:dyDescent="0.3">
      <c r="A18" s="2">
        <v>17</v>
      </c>
      <c r="B18" s="2" t="s">
        <v>18</v>
      </c>
      <c r="C18" s="2" t="str">
        <f t="shared" si="0"/>
        <v>230</v>
      </c>
    </row>
    <row r="19" spans="1:3" x14ac:dyDescent="0.3">
      <c r="A19" s="2">
        <v>18</v>
      </c>
      <c r="B19" s="2" t="s">
        <v>19</v>
      </c>
      <c r="C19" s="2" t="s">
        <v>57</v>
      </c>
    </row>
    <row r="20" spans="1:3" x14ac:dyDescent="0.3">
      <c r="A20" s="2">
        <v>19</v>
      </c>
      <c r="B20" s="2" t="s">
        <v>20</v>
      </c>
      <c r="C20" s="2" t="str">
        <f t="shared" si="0"/>
        <v>525</v>
      </c>
    </row>
    <row r="21" spans="1:3" x14ac:dyDescent="0.3">
      <c r="A21" s="2">
        <v>20</v>
      </c>
      <c r="B21" s="2" t="s">
        <v>21</v>
      </c>
      <c r="C21" s="2" t="str">
        <f t="shared" si="0"/>
        <v>525</v>
      </c>
    </row>
    <row r="22" spans="1:3" x14ac:dyDescent="0.3">
      <c r="A22" s="2">
        <v>21</v>
      </c>
      <c r="B22" s="2" t="s">
        <v>22</v>
      </c>
      <c r="C22" s="2" t="str">
        <f t="shared" si="0"/>
        <v>525</v>
      </c>
    </row>
    <row r="23" spans="1:3" x14ac:dyDescent="0.3">
      <c r="A23" s="2">
        <v>22</v>
      </c>
      <c r="B23" s="2" t="s">
        <v>23</v>
      </c>
      <c r="C23" s="2" t="str">
        <f t="shared" si="0"/>
        <v>525</v>
      </c>
    </row>
    <row r="24" spans="1:3" x14ac:dyDescent="0.3">
      <c r="A24" s="2">
        <v>23</v>
      </c>
      <c r="B24" s="2" t="s">
        <v>24</v>
      </c>
      <c r="C24" s="2" t="str">
        <f t="shared" si="0"/>
        <v>525</v>
      </c>
    </row>
    <row r="25" spans="1:3" x14ac:dyDescent="0.3">
      <c r="A25" s="2">
        <v>24</v>
      </c>
      <c r="B25" s="2" t="s">
        <v>25</v>
      </c>
      <c r="C25" s="2" t="str">
        <f t="shared" si="0"/>
        <v>525</v>
      </c>
    </row>
    <row r="26" spans="1:3" x14ac:dyDescent="0.3">
      <c r="A26" s="2">
        <v>25</v>
      </c>
      <c r="B26" s="2" t="s">
        <v>26</v>
      </c>
      <c r="C26" s="2" t="str">
        <f t="shared" si="0"/>
        <v>525</v>
      </c>
    </row>
    <row r="27" spans="1:3" x14ac:dyDescent="0.3">
      <c r="A27" s="2">
        <v>26</v>
      </c>
      <c r="B27" s="2" t="s">
        <v>27</v>
      </c>
      <c r="C27" s="2" t="str">
        <f t="shared" si="0"/>
        <v>525</v>
      </c>
    </row>
    <row r="28" spans="1:3" x14ac:dyDescent="0.3">
      <c r="A28" s="2">
        <v>27</v>
      </c>
      <c r="B28" s="2" t="s">
        <v>28</v>
      </c>
      <c r="C28" s="2" t="str">
        <f t="shared" si="0"/>
        <v>3.8</v>
      </c>
    </row>
    <row r="29" spans="1:3" x14ac:dyDescent="0.3">
      <c r="A29" s="2">
        <v>28</v>
      </c>
      <c r="B29" s="2" t="s">
        <v>29</v>
      </c>
      <c r="C29" s="2" t="str">
        <f t="shared" si="0"/>
        <v>525</v>
      </c>
    </row>
    <row r="30" spans="1:3" x14ac:dyDescent="0.3">
      <c r="A30" s="2">
        <v>29</v>
      </c>
      <c r="B30" s="2" t="s">
        <v>30</v>
      </c>
      <c r="C30" s="2" t="str">
        <f t="shared" si="0"/>
        <v>3.8</v>
      </c>
    </row>
    <row r="31" spans="1:3" x14ac:dyDescent="0.3">
      <c r="A31" s="2">
        <v>30</v>
      </c>
      <c r="B31" s="2" t="s">
        <v>31</v>
      </c>
      <c r="C31" s="2" t="str">
        <f t="shared" si="0"/>
        <v>138</v>
      </c>
    </row>
    <row r="32" spans="1:3" x14ac:dyDescent="0.3">
      <c r="A32" s="2">
        <v>31</v>
      </c>
      <c r="B32" s="2" t="s">
        <v>32</v>
      </c>
      <c r="C32" s="2" t="s">
        <v>57</v>
      </c>
    </row>
    <row r="33" spans="1:3" x14ac:dyDescent="0.3">
      <c r="A33" s="2">
        <v>32</v>
      </c>
      <c r="B33" s="2" t="s">
        <v>33</v>
      </c>
      <c r="C33" s="2" t="s">
        <v>57</v>
      </c>
    </row>
    <row r="34" spans="1:3" x14ac:dyDescent="0.3">
      <c r="A34" s="2">
        <v>33</v>
      </c>
      <c r="B34" s="2" t="s">
        <v>34</v>
      </c>
      <c r="C34" s="2" t="str">
        <f t="shared" si="0"/>
        <v>230</v>
      </c>
    </row>
    <row r="35" spans="1:3" x14ac:dyDescent="0.3">
      <c r="A35" s="2">
        <v>34</v>
      </c>
      <c r="B35" s="2" t="s">
        <v>35</v>
      </c>
      <c r="C35" s="2" t="s">
        <v>57</v>
      </c>
    </row>
    <row r="36" spans="1:3" x14ac:dyDescent="0.3">
      <c r="A36" s="2">
        <v>35</v>
      </c>
      <c r="B36" s="2" t="s">
        <v>36</v>
      </c>
      <c r="C36" s="2" t="str">
        <f t="shared" si="0"/>
        <v>525</v>
      </c>
    </row>
    <row r="37" spans="1:3" x14ac:dyDescent="0.3">
      <c r="A37" s="2">
        <v>36</v>
      </c>
      <c r="B37" s="2" t="s">
        <v>37</v>
      </c>
      <c r="C37" s="2" t="str">
        <f t="shared" si="0"/>
        <v>230</v>
      </c>
    </row>
    <row r="38" spans="1:3" x14ac:dyDescent="0.3">
      <c r="A38" s="2">
        <v>37</v>
      </c>
      <c r="B38" s="2" t="s">
        <v>38</v>
      </c>
      <c r="C38" s="2" t="str">
        <f t="shared" si="0"/>
        <v>230</v>
      </c>
    </row>
    <row r="39" spans="1:3" x14ac:dyDescent="0.3">
      <c r="A39" s="2">
        <v>38</v>
      </c>
      <c r="B39" s="2" t="s">
        <v>39</v>
      </c>
      <c r="C39" s="2" t="s">
        <v>57</v>
      </c>
    </row>
    <row r="40" spans="1:3" x14ac:dyDescent="0.3">
      <c r="A40" s="2">
        <v>39</v>
      </c>
      <c r="B40" s="2" t="s">
        <v>40</v>
      </c>
      <c r="C40" s="2" t="str">
        <f t="shared" si="0"/>
        <v>230</v>
      </c>
    </row>
    <row r="41" spans="1:3" x14ac:dyDescent="0.3">
      <c r="A41" s="2">
        <v>40</v>
      </c>
      <c r="B41" s="2" t="s">
        <v>41</v>
      </c>
      <c r="C41" s="2" t="str">
        <f t="shared" si="0"/>
        <v>230</v>
      </c>
    </row>
    <row r="42" spans="1:3" x14ac:dyDescent="0.3">
      <c r="A42" s="2">
        <v>41</v>
      </c>
      <c r="B42" s="2" t="s">
        <v>42</v>
      </c>
      <c r="C42" s="2" t="str">
        <f t="shared" si="0"/>
        <v>230</v>
      </c>
    </row>
    <row r="43" spans="1:3" x14ac:dyDescent="0.3">
      <c r="A43" s="2">
        <v>42</v>
      </c>
      <c r="B43" s="2" t="s">
        <v>43</v>
      </c>
      <c r="C43" s="2" t="str">
        <f t="shared" si="0"/>
        <v>230</v>
      </c>
    </row>
    <row r="44" spans="1:3" x14ac:dyDescent="0.3">
      <c r="A44" s="2">
        <v>43</v>
      </c>
      <c r="B44" s="2" t="s">
        <v>44</v>
      </c>
      <c r="C44" s="2" t="str">
        <f t="shared" si="0"/>
        <v>230</v>
      </c>
    </row>
    <row r="45" spans="1:3" x14ac:dyDescent="0.3">
      <c r="A45" s="2">
        <v>44</v>
      </c>
      <c r="B45" s="2" t="s">
        <v>45</v>
      </c>
      <c r="C45" s="2" t="str">
        <f t="shared" si="0"/>
        <v>230</v>
      </c>
    </row>
    <row r="46" spans="1:3" x14ac:dyDescent="0.3">
      <c r="A46" s="2">
        <v>45</v>
      </c>
      <c r="B46" s="2" t="s">
        <v>46</v>
      </c>
      <c r="C46" s="2" t="str">
        <f t="shared" si="0"/>
        <v>230</v>
      </c>
    </row>
  </sheetData>
  <phoneticPr fontId="2" type="noConversion"/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8"/>
  <sheetViews>
    <sheetView workbookViewId="0"/>
  </sheetViews>
  <sheetFormatPr defaultRowHeight="14.4" x14ac:dyDescent="0.3"/>
  <cols>
    <col min="3" max="4" width="10" bestFit="1" customWidth="1"/>
    <col min="5" max="5" width="8" bestFit="1" customWidth="1"/>
  </cols>
  <sheetData>
    <row r="1" spans="1:5" x14ac:dyDescent="0.3">
      <c r="A1" s="1" t="s">
        <v>47</v>
      </c>
      <c r="B1" s="1" t="s">
        <v>48</v>
      </c>
      <c r="C1" s="1" t="s">
        <v>49</v>
      </c>
      <c r="D1" s="1" t="s">
        <v>50</v>
      </c>
      <c r="E1" s="1" t="s">
        <v>51</v>
      </c>
    </row>
    <row r="2" spans="1:5" x14ac:dyDescent="0.3">
      <c r="A2">
        <v>1</v>
      </c>
      <c r="B2">
        <v>2</v>
      </c>
      <c r="C2">
        <v>3.5E-4</v>
      </c>
      <c r="D2">
        <v>7.2500000000000004E-3</v>
      </c>
      <c r="E2">
        <v>0.83050000000000002</v>
      </c>
    </row>
    <row r="3" spans="1:5" x14ac:dyDescent="0.3">
      <c r="A3">
        <v>1</v>
      </c>
      <c r="B3">
        <v>19</v>
      </c>
      <c r="C3">
        <v>1.8E-3</v>
      </c>
      <c r="D3">
        <v>2.2700000000000001E-2</v>
      </c>
      <c r="E3">
        <v>2.2721</v>
      </c>
    </row>
    <row r="4" spans="1:5" x14ac:dyDescent="0.3">
      <c r="A4">
        <v>1</v>
      </c>
      <c r="B4">
        <v>28</v>
      </c>
      <c r="C4">
        <v>1.4E-3</v>
      </c>
      <c r="D4">
        <v>2.0400000000000001E-2</v>
      </c>
      <c r="E4">
        <v>2.4474999999999998</v>
      </c>
    </row>
    <row r="5" spans="1:5" x14ac:dyDescent="0.3">
      <c r="A5">
        <v>2</v>
      </c>
      <c r="B5">
        <v>42</v>
      </c>
      <c r="C5">
        <v>0</v>
      </c>
      <c r="D5">
        <v>6.3E-3</v>
      </c>
      <c r="E5">
        <v>0</v>
      </c>
    </row>
    <row r="6" spans="1:5" x14ac:dyDescent="0.3">
      <c r="A6">
        <v>3</v>
      </c>
      <c r="B6">
        <v>23</v>
      </c>
      <c r="C6">
        <v>0</v>
      </c>
      <c r="D6">
        <v>1.3599999999999999E-2</v>
      </c>
      <c r="E6">
        <v>0</v>
      </c>
    </row>
    <row r="7" spans="1:5" x14ac:dyDescent="0.3">
      <c r="A7">
        <v>4</v>
      </c>
      <c r="B7">
        <v>5</v>
      </c>
      <c r="C7">
        <v>3.8600000000000002E-2</v>
      </c>
      <c r="D7">
        <v>0.19850000000000001</v>
      </c>
      <c r="E7">
        <v>0.34</v>
      </c>
    </row>
    <row r="8" spans="1:5" x14ac:dyDescent="0.3">
      <c r="A8">
        <v>4</v>
      </c>
      <c r="B8">
        <v>33</v>
      </c>
      <c r="C8">
        <v>9.5999999999999992E-3</v>
      </c>
      <c r="D8">
        <v>4.9099999999999998E-2</v>
      </c>
      <c r="E8">
        <v>8.4199999999999997E-2</v>
      </c>
    </row>
    <row r="9" spans="1:5" x14ac:dyDescent="0.3">
      <c r="A9">
        <v>4</v>
      </c>
      <c r="B9">
        <v>45</v>
      </c>
      <c r="C9">
        <v>3.3E-3</v>
      </c>
      <c r="D9">
        <v>1.67E-2</v>
      </c>
      <c r="E9">
        <v>0.28589999999999999</v>
      </c>
    </row>
    <row r="10" spans="1:5" x14ac:dyDescent="0.3">
      <c r="A10">
        <v>5</v>
      </c>
      <c r="B10">
        <v>7</v>
      </c>
      <c r="C10">
        <v>2.315E-2</v>
      </c>
      <c r="D10">
        <v>0.11890000000000001</v>
      </c>
      <c r="E10">
        <v>0.20419999999999999</v>
      </c>
    </row>
    <row r="11" spans="1:5" x14ac:dyDescent="0.3">
      <c r="A11">
        <v>5</v>
      </c>
      <c r="B11">
        <v>36</v>
      </c>
      <c r="C11">
        <v>8.8500000000000002E-3</v>
      </c>
      <c r="D11">
        <v>4.5499999999999999E-2</v>
      </c>
      <c r="E11">
        <v>7.9250000000000001E-2</v>
      </c>
    </row>
    <row r="12" spans="1:5" x14ac:dyDescent="0.3">
      <c r="A12">
        <v>6</v>
      </c>
      <c r="B12">
        <v>7</v>
      </c>
      <c r="C12">
        <v>0</v>
      </c>
      <c r="D12">
        <v>4.5999999999999999E-2</v>
      </c>
      <c r="E12">
        <v>0</v>
      </c>
    </row>
    <row r="13" spans="1:5" x14ac:dyDescent="0.3">
      <c r="A13">
        <v>7</v>
      </c>
      <c r="B13">
        <v>8</v>
      </c>
      <c r="C13">
        <v>8.1499999999999993E-3</v>
      </c>
      <c r="D13">
        <v>4.1750000000000002E-2</v>
      </c>
      <c r="E13">
        <v>7.1999999999999995E-2</v>
      </c>
    </row>
    <row r="14" spans="1:5" x14ac:dyDescent="0.3">
      <c r="A14">
        <v>7</v>
      </c>
      <c r="B14">
        <v>39</v>
      </c>
      <c r="C14">
        <v>2.5000000000000001E-2</v>
      </c>
      <c r="D14">
        <v>0.15479999999999999</v>
      </c>
      <c r="E14">
        <v>0.46899999999999997</v>
      </c>
    </row>
    <row r="15" spans="1:5" x14ac:dyDescent="0.3">
      <c r="A15">
        <v>8</v>
      </c>
      <c r="B15">
        <v>9</v>
      </c>
      <c r="C15">
        <v>1.6299999999999999E-2</v>
      </c>
      <c r="D15">
        <v>8.3500000000000005E-2</v>
      </c>
      <c r="E15">
        <v>0.14399999999999999</v>
      </c>
    </row>
    <row r="16" spans="1:5" x14ac:dyDescent="0.3">
      <c r="A16">
        <v>8</v>
      </c>
      <c r="B16">
        <v>11</v>
      </c>
      <c r="C16">
        <v>3.1600000000000003E-2</v>
      </c>
      <c r="D16">
        <v>0.16209999999999999</v>
      </c>
      <c r="E16">
        <v>0.27839999999999998</v>
      </c>
    </row>
    <row r="17" spans="1:5" x14ac:dyDescent="0.3">
      <c r="A17">
        <v>9</v>
      </c>
      <c r="B17">
        <v>11</v>
      </c>
      <c r="C17">
        <v>1.5299999999999999E-2</v>
      </c>
      <c r="D17">
        <v>8.6099999999999996E-2</v>
      </c>
      <c r="E17">
        <v>0.13439999999999999</v>
      </c>
    </row>
    <row r="18" spans="1:5" x14ac:dyDescent="0.3">
      <c r="A18">
        <v>10</v>
      </c>
      <c r="B18">
        <v>11</v>
      </c>
      <c r="C18">
        <v>0</v>
      </c>
      <c r="D18">
        <v>1.14E-2</v>
      </c>
      <c r="E18">
        <v>0</v>
      </c>
    </row>
    <row r="19" spans="1:5" x14ac:dyDescent="0.3">
      <c r="A19">
        <v>11</v>
      </c>
      <c r="B19">
        <v>12</v>
      </c>
      <c r="C19">
        <v>3.0599999999999999E-2</v>
      </c>
      <c r="D19">
        <v>0.15229999999999999</v>
      </c>
      <c r="E19">
        <v>0.2702</v>
      </c>
    </row>
    <row r="20" spans="1:5" x14ac:dyDescent="0.3">
      <c r="A20">
        <v>11</v>
      </c>
      <c r="B20">
        <v>44</v>
      </c>
      <c r="C20">
        <v>1.72E-2</v>
      </c>
      <c r="D20">
        <v>8.7999999999999995E-2</v>
      </c>
      <c r="E20">
        <v>0.152</v>
      </c>
    </row>
    <row r="21" spans="1:5" x14ac:dyDescent="0.3">
      <c r="A21">
        <v>12</v>
      </c>
      <c r="B21">
        <v>13</v>
      </c>
      <c r="C21">
        <v>2.4500000000000001E-2</v>
      </c>
      <c r="D21">
        <v>0.12559999999999999</v>
      </c>
      <c r="E21">
        <v>0.2041</v>
      </c>
    </row>
    <row r="22" spans="1:5" x14ac:dyDescent="0.3">
      <c r="A22">
        <v>12</v>
      </c>
      <c r="B22">
        <v>19</v>
      </c>
      <c r="C22">
        <v>0</v>
      </c>
      <c r="D22">
        <v>0.03</v>
      </c>
      <c r="E22">
        <v>0</v>
      </c>
    </row>
    <row r="23" spans="1:5" x14ac:dyDescent="0.3">
      <c r="A23">
        <v>13</v>
      </c>
      <c r="B23">
        <v>14</v>
      </c>
      <c r="C23">
        <v>8.8000000000000005E-3</v>
      </c>
      <c r="D23">
        <v>4.1500000000000002E-2</v>
      </c>
      <c r="E23">
        <v>0.52110000000000001</v>
      </c>
    </row>
    <row r="24" spans="1:5" x14ac:dyDescent="0.3">
      <c r="A24">
        <v>14</v>
      </c>
      <c r="B24">
        <v>15</v>
      </c>
      <c r="C24">
        <v>9.1000000000000004E-3</v>
      </c>
      <c r="D24">
        <v>4.675E-2</v>
      </c>
      <c r="E24">
        <v>7.9750000000000001E-2</v>
      </c>
    </row>
    <row r="25" spans="1:5" x14ac:dyDescent="0.3">
      <c r="A25">
        <v>14</v>
      </c>
      <c r="B25">
        <v>20</v>
      </c>
      <c r="C25">
        <v>0</v>
      </c>
      <c r="D25">
        <v>6.1999999999999998E-3</v>
      </c>
      <c r="E25">
        <v>0</v>
      </c>
    </row>
    <row r="26" spans="1:5" x14ac:dyDescent="0.3">
      <c r="A26">
        <v>15</v>
      </c>
      <c r="B26">
        <v>16</v>
      </c>
      <c r="C26">
        <v>7.7000000000000002E-3</v>
      </c>
      <c r="D26">
        <v>3.8800000000000001E-2</v>
      </c>
      <c r="E26">
        <v>6.7500000000000004E-2</v>
      </c>
    </row>
    <row r="27" spans="1:5" x14ac:dyDescent="0.3">
      <c r="A27">
        <v>16</v>
      </c>
      <c r="B27">
        <v>17</v>
      </c>
      <c r="C27">
        <v>1.0800000000000001E-2</v>
      </c>
      <c r="D27">
        <v>5.525E-2</v>
      </c>
      <c r="E27">
        <v>9.3149999999999997E-2</v>
      </c>
    </row>
    <row r="28" spans="1:5" x14ac:dyDescent="0.3">
      <c r="A28">
        <v>16</v>
      </c>
      <c r="B28">
        <v>22</v>
      </c>
      <c r="C28">
        <v>0</v>
      </c>
      <c r="D28">
        <v>6.1999999999999998E-3</v>
      </c>
      <c r="E28">
        <v>0</v>
      </c>
    </row>
    <row r="29" spans="1:5" x14ac:dyDescent="0.3">
      <c r="A29">
        <v>17</v>
      </c>
      <c r="B29">
        <v>33</v>
      </c>
      <c r="C29">
        <v>8.9999999999999993E-3</v>
      </c>
      <c r="D29">
        <v>4.5999999999999999E-2</v>
      </c>
      <c r="E29">
        <v>7.7649999999999997E-2</v>
      </c>
    </row>
    <row r="30" spans="1:5" x14ac:dyDescent="0.3">
      <c r="A30">
        <v>18</v>
      </c>
      <c r="B30">
        <v>19</v>
      </c>
      <c r="C30">
        <v>0</v>
      </c>
      <c r="D30">
        <v>6.7000000000000002E-3</v>
      </c>
      <c r="E30">
        <v>0</v>
      </c>
    </row>
    <row r="31" spans="1:5" x14ac:dyDescent="0.3">
      <c r="A31">
        <v>19</v>
      </c>
      <c r="B31">
        <v>20</v>
      </c>
      <c r="C31">
        <v>1.9E-3</v>
      </c>
      <c r="D31">
        <v>2.8000000000000001E-2</v>
      </c>
      <c r="E31">
        <v>3.3576000000000001</v>
      </c>
    </row>
    <row r="32" spans="1:5" x14ac:dyDescent="0.3">
      <c r="A32">
        <v>19</v>
      </c>
      <c r="B32">
        <v>21</v>
      </c>
      <c r="C32">
        <v>1.9E-3</v>
      </c>
      <c r="D32">
        <v>2.7400000000000001E-2</v>
      </c>
      <c r="E32">
        <v>3.2867000000000002</v>
      </c>
    </row>
    <row r="33" spans="1:5" x14ac:dyDescent="0.3">
      <c r="A33">
        <v>19</v>
      </c>
      <c r="B33">
        <v>23</v>
      </c>
      <c r="C33">
        <v>1.4E-3</v>
      </c>
      <c r="D33">
        <v>1.95E-2</v>
      </c>
      <c r="E33">
        <v>2.3967999999999998</v>
      </c>
    </row>
    <row r="34" spans="1:5" x14ac:dyDescent="0.3">
      <c r="A34">
        <v>19</v>
      </c>
      <c r="B34">
        <v>35</v>
      </c>
      <c r="C34">
        <v>5.0000000000000001E-4</v>
      </c>
      <c r="D34">
        <v>7.0000000000000001E-3</v>
      </c>
      <c r="E34">
        <v>0.83919999999999995</v>
      </c>
    </row>
    <row r="35" spans="1:5" x14ac:dyDescent="0.3">
      <c r="A35">
        <v>20</v>
      </c>
      <c r="B35">
        <v>21</v>
      </c>
      <c r="C35">
        <v>5.0000000000000001E-4</v>
      </c>
      <c r="D35">
        <v>6.8999999999999999E-3</v>
      </c>
      <c r="E35">
        <v>0.8216</v>
      </c>
    </row>
    <row r="36" spans="1:5" x14ac:dyDescent="0.3">
      <c r="A36">
        <v>20</v>
      </c>
      <c r="B36">
        <v>22</v>
      </c>
      <c r="C36">
        <v>1.1999999999999999E-3</v>
      </c>
      <c r="D36">
        <v>1.7500000000000002E-2</v>
      </c>
      <c r="E36">
        <v>2.097</v>
      </c>
    </row>
    <row r="37" spans="1:5" x14ac:dyDescent="0.3">
      <c r="A37">
        <v>23</v>
      </c>
      <c r="B37">
        <v>24</v>
      </c>
      <c r="C37">
        <v>2.0999999999999999E-3</v>
      </c>
      <c r="D37">
        <v>3.09E-2</v>
      </c>
      <c r="E37">
        <v>3.7183000000000002</v>
      </c>
    </row>
    <row r="38" spans="1:5" x14ac:dyDescent="0.3">
      <c r="A38">
        <v>24</v>
      </c>
      <c r="B38">
        <v>37</v>
      </c>
      <c r="C38">
        <v>0</v>
      </c>
      <c r="D38">
        <v>6.1999999999999998E-3</v>
      </c>
      <c r="E38">
        <v>0</v>
      </c>
    </row>
    <row r="39" spans="1:5" x14ac:dyDescent="0.3">
      <c r="A39">
        <v>25</v>
      </c>
      <c r="B39">
        <v>26</v>
      </c>
      <c r="C39">
        <v>2.2000000000000001E-3</v>
      </c>
      <c r="D39">
        <v>0.03</v>
      </c>
      <c r="E39">
        <v>3.83</v>
      </c>
    </row>
    <row r="40" spans="1:5" x14ac:dyDescent="0.3">
      <c r="A40">
        <v>25</v>
      </c>
      <c r="B40">
        <v>40</v>
      </c>
      <c r="C40">
        <v>0</v>
      </c>
      <c r="D40">
        <v>6.1999999999999998E-3</v>
      </c>
      <c r="E40">
        <v>0</v>
      </c>
    </row>
    <row r="41" spans="1:5" x14ac:dyDescent="0.3">
      <c r="A41">
        <v>26</v>
      </c>
      <c r="B41">
        <v>28</v>
      </c>
      <c r="C41">
        <v>1.4E-3</v>
      </c>
      <c r="D41">
        <v>1.95E-2</v>
      </c>
      <c r="E41">
        <v>2.3969999999999998</v>
      </c>
    </row>
    <row r="42" spans="1:5" x14ac:dyDescent="0.3">
      <c r="A42">
        <v>27</v>
      </c>
      <c r="B42">
        <v>28</v>
      </c>
      <c r="C42">
        <v>0</v>
      </c>
      <c r="D42">
        <v>1.14E-2</v>
      </c>
      <c r="E42">
        <v>0</v>
      </c>
    </row>
    <row r="43" spans="1:5" x14ac:dyDescent="0.3">
      <c r="A43">
        <v>28</v>
      </c>
      <c r="B43">
        <v>35</v>
      </c>
      <c r="C43">
        <v>5.0000000000000001E-4</v>
      </c>
      <c r="D43">
        <v>7.0000000000000001E-3</v>
      </c>
      <c r="E43">
        <v>0.83919999999999995</v>
      </c>
    </row>
    <row r="44" spans="1:5" x14ac:dyDescent="0.3">
      <c r="A44">
        <v>29</v>
      </c>
      <c r="B44">
        <v>30</v>
      </c>
      <c r="C44">
        <v>0</v>
      </c>
      <c r="D44">
        <v>8.7099999999999997E-2</v>
      </c>
      <c r="E44">
        <v>0</v>
      </c>
    </row>
    <row r="45" spans="1:5" x14ac:dyDescent="0.3">
      <c r="A45">
        <v>30</v>
      </c>
      <c r="B45">
        <v>33</v>
      </c>
      <c r="C45">
        <v>0</v>
      </c>
      <c r="D45">
        <v>5.8999999999999997E-2</v>
      </c>
      <c r="E45">
        <v>0</v>
      </c>
    </row>
    <row r="46" spans="1:5" x14ac:dyDescent="0.3">
      <c r="A46">
        <v>31</v>
      </c>
      <c r="B46">
        <v>33</v>
      </c>
      <c r="C46">
        <v>0</v>
      </c>
      <c r="D46">
        <v>7.0099999999999996E-2</v>
      </c>
      <c r="E46">
        <v>0</v>
      </c>
    </row>
    <row r="47" spans="1:5" x14ac:dyDescent="0.3">
      <c r="A47">
        <v>32</v>
      </c>
      <c r="B47">
        <v>33</v>
      </c>
      <c r="C47">
        <v>0</v>
      </c>
      <c r="D47">
        <v>4.4999999999999998E-2</v>
      </c>
      <c r="E47">
        <v>0</v>
      </c>
    </row>
    <row r="48" spans="1:5" x14ac:dyDescent="0.3">
      <c r="A48">
        <v>33</v>
      </c>
      <c r="B48">
        <v>45</v>
      </c>
      <c r="C48">
        <v>1.29E-2</v>
      </c>
      <c r="D48">
        <v>6.5699999999999995E-2</v>
      </c>
      <c r="E48">
        <v>0.1128</v>
      </c>
    </row>
    <row r="49" spans="1:5" x14ac:dyDescent="0.3">
      <c r="A49">
        <v>34</v>
      </c>
      <c r="B49">
        <v>35</v>
      </c>
      <c r="C49">
        <v>0</v>
      </c>
      <c r="D49">
        <v>6.7999999999999996E-3</v>
      </c>
      <c r="E49">
        <v>0</v>
      </c>
    </row>
    <row r="50" spans="1:5" x14ac:dyDescent="0.3">
      <c r="A50">
        <v>36</v>
      </c>
      <c r="B50">
        <v>37</v>
      </c>
      <c r="C50">
        <v>6.9709999999999998E-4</v>
      </c>
      <c r="D50">
        <v>3.5818999999999998E-3</v>
      </c>
      <c r="E50">
        <v>6.6799999999999998E-2</v>
      </c>
    </row>
    <row r="51" spans="1:5" x14ac:dyDescent="0.3">
      <c r="A51">
        <v>36</v>
      </c>
      <c r="B51">
        <v>40</v>
      </c>
      <c r="C51">
        <v>6.1314999999999998E-3</v>
      </c>
      <c r="D51">
        <v>3.1624199999999998E-2</v>
      </c>
      <c r="E51">
        <v>0.52359999999999995</v>
      </c>
    </row>
    <row r="52" spans="1:5" x14ac:dyDescent="0.3">
      <c r="A52">
        <v>38</v>
      </c>
      <c r="B52">
        <v>39</v>
      </c>
      <c r="C52">
        <v>0</v>
      </c>
      <c r="D52">
        <v>2.3599999999999999E-2</v>
      </c>
      <c r="E52">
        <v>0</v>
      </c>
    </row>
    <row r="53" spans="1:5" x14ac:dyDescent="0.3">
      <c r="A53">
        <v>39</v>
      </c>
      <c r="B53">
        <v>40</v>
      </c>
      <c r="C53">
        <v>2.0199999999999999E-2</v>
      </c>
      <c r="D53">
        <v>0.1129</v>
      </c>
      <c r="E53">
        <v>0.20619999999999999</v>
      </c>
    </row>
    <row r="54" spans="1:5" x14ac:dyDescent="0.3">
      <c r="A54">
        <v>41</v>
      </c>
      <c r="B54">
        <v>42</v>
      </c>
      <c r="C54">
        <v>5.1986999999999997E-3</v>
      </c>
      <c r="D54">
        <v>2.6814899999999999E-2</v>
      </c>
      <c r="E54">
        <v>0.1905</v>
      </c>
    </row>
    <row r="55" spans="1:5" x14ac:dyDescent="0.3">
      <c r="A55">
        <v>41</v>
      </c>
      <c r="B55">
        <v>43</v>
      </c>
      <c r="C55">
        <v>1.0999999999999999E-2</v>
      </c>
      <c r="D55">
        <v>0.11840000000000001</v>
      </c>
      <c r="E55">
        <v>0.20269999999999999</v>
      </c>
    </row>
    <row r="56" spans="1:5" x14ac:dyDescent="0.3">
      <c r="A56">
        <v>41</v>
      </c>
      <c r="B56">
        <v>44</v>
      </c>
      <c r="C56">
        <v>2.29E-2</v>
      </c>
      <c r="D56">
        <v>0.1174</v>
      </c>
      <c r="E56">
        <v>0.20269999999999999</v>
      </c>
    </row>
    <row r="57" spans="1:5" x14ac:dyDescent="0.3">
      <c r="A57">
        <v>42</v>
      </c>
      <c r="B57">
        <v>43</v>
      </c>
      <c r="C57">
        <v>8.6E-3</v>
      </c>
      <c r="D57">
        <v>4.4200000000000003E-2</v>
      </c>
      <c r="E57">
        <v>0.2868</v>
      </c>
    </row>
    <row r="58" spans="1:5" x14ac:dyDescent="0.3">
      <c r="A58">
        <v>43</v>
      </c>
      <c r="B58">
        <v>44</v>
      </c>
      <c r="C58">
        <v>1.8100000000000002E-2</v>
      </c>
      <c r="D58">
        <v>9.2899999999999996E-2</v>
      </c>
      <c r="E58">
        <v>0.16070000000000001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46"/>
  <sheetViews>
    <sheetView workbookViewId="0">
      <selection activeCell="C10" sqref="C10"/>
    </sheetView>
  </sheetViews>
  <sheetFormatPr defaultRowHeight="14.4" x14ac:dyDescent="0.3"/>
  <cols>
    <col min="2" max="2" width="15" bestFit="1" customWidth="1"/>
    <col min="3" max="3" width="18.6640625" bestFit="1" customWidth="1"/>
    <col min="4" max="4" width="16" bestFit="1" customWidth="1"/>
    <col min="5" max="5" width="18.88671875" bestFit="1" customWidth="1"/>
  </cols>
  <sheetData>
    <row r="1" spans="1:5" x14ac:dyDescent="0.3">
      <c r="A1" s="1" t="s">
        <v>0</v>
      </c>
      <c r="B1" s="1" t="s">
        <v>52</v>
      </c>
      <c r="C1" s="1" t="s">
        <v>53</v>
      </c>
      <c r="D1" s="1" t="s">
        <v>54</v>
      </c>
      <c r="E1" s="1" t="s">
        <v>55</v>
      </c>
    </row>
    <row r="2" spans="1:5" x14ac:dyDescent="0.3">
      <c r="A2">
        <v>1</v>
      </c>
      <c r="B2">
        <v>0</v>
      </c>
      <c r="C2">
        <v>0</v>
      </c>
      <c r="D2">
        <v>720.13340000000005</v>
      </c>
      <c r="E2">
        <v>0</v>
      </c>
    </row>
    <row r="3" spans="1:5" x14ac:dyDescent="0.3">
      <c r="A3">
        <v>2</v>
      </c>
      <c r="B3">
        <v>0</v>
      </c>
      <c r="C3">
        <v>0</v>
      </c>
      <c r="D3">
        <v>0</v>
      </c>
      <c r="E3">
        <v>0</v>
      </c>
    </row>
    <row r="4" spans="1:5" x14ac:dyDescent="0.3">
      <c r="A4">
        <v>3</v>
      </c>
      <c r="B4">
        <v>1</v>
      </c>
      <c r="C4">
        <v>1000</v>
      </c>
      <c r="D4">
        <v>0</v>
      </c>
      <c r="E4">
        <v>0</v>
      </c>
    </row>
    <row r="5" spans="1:5" x14ac:dyDescent="0.3">
      <c r="A5">
        <v>4</v>
      </c>
      <c r="B5">
        <v>0</v>
      </c>
      <c r="C5">
        <v>0</v>
      </c>
      <c r="D5">
        <v>141.6</v>
      </c>
      <c r="E5">
        <v>54.4</v>
      </c>
    </row>
    <row r="6" spans="1:5" x14ac:dyDescent="0.3">
      <c r="A6">
        <v>5</v>
      </c>
      <c r="B6">
        <v>0</v>
      </c>
      <c r="C6">
        <v>0</v>
      </c>
      <c r="D6">
        <v>153.0934</v>
      </c>
      <c r="E6">
        <v>33.6</v>
      </c>
    </row>
    <row r="7" spans="1:5" x14ac:dyDescent="0.3">
      <c r="A7">
        <v>6</v>
      </c>
      <c r="B7">
        <v>1</v>
      </c>
      <c r="C7">
        <v>172</v>
      </c>
      <c r="D7">
        <v>0</v>
      </c>
      <c r="E7">
        <v>0</v>
      </c>
    </row>
    <row r="8" spans="1:5" x14ac:dyDescent="0.3">
      <c r="A8">
        <v>7</v>
      </c>
      <c r="B8">
        <v>0</v>
      </c>
      <c r="C8">
        <v>0</v>
      </c>
      <c r="D8">
        <v>136.80000000000001</v>
      </c>
      <c r="E8">
        <v>14.8</v>
      </c>
    </row>
    <row r="9" spans="1:5" x14ac:dyDescent="0.3">
      <c r="A9">
        <v>8</v>
      </c>
      <c r="B9">
        <v>0</v>
      </c>
      <c r="C9">
        <v>0</v>
      </c>
      <c r="D9">
        <v>100.8</v>
      </c>
      <c r="E9">
        <v>37.6</v>
      </c>
    </row>
    <row r="10" spans="1:5" x14ac:dyDescent="0.3">
      <c r="A10">
        <v>9</v>
      </c>
      <c r="B10">
        <v>0</v>
      </c>
      <c r="C10">
        <v>0</v>
      </c>
      <c r="D10">
        <v>37.253399999999999</v>
      </c>
      <c r="E10">
        <v>11.76</v>
      </c>
    </row>
    <row r="11" spans="1:5" x14ac:dyDescent="0.3">
      <c r="A11">
        <v>10</v>
      </c>
      <c r="B11">
        <v>1</v>
      </c>
      <c r="C11">
        <v>736</v>
      </c>
      <c r="D11">
        <v>0</v>
      </c>
      <c r="E11">
        <v>0</v>
      </c>
    </row>
    <row r="12" spans="1:5" x14ac:dyDescent="0.3">
      <c r="A12">
        <v>11</v>
      </c>
      <c r="B12">
        <v>0</v>
      </c>
      <c r="C12">
        <v>0</v>
      </c>
      <c r="D12">
        <v>224.8</v>
      </c>
      <c r="E12">
        <v>45.2</v>
      </c>
    </row>
    <row r="13" spans="1:5" x14ac:dyDescent="0.3">
      <c r="A13">
        <v>12</v>
      </c>
      <c r="B13">
        <v>0</v>
      </c>
      <c r="C13">
        <v>0</v>
      </c>
      <c r="D13">
        <v>223.70670000000001</v>
      </c>
      <c r="E13">
        <v>48.56</v>
      </c>
    </row>
    <row r="14" spans="1:5" x14ac:dyDescent="0.3">
      <c r="A14">
        <v>13</v>
      </c>
      <c r="B14">
        <v>0</v>
      </c>
      <c r="C14">
        <v>0</v>
      </c>
      <c r="D14">
        <v>104.16</v>
      </c>
      <c r="E14">
        <v>23.52</v>
      </c>
    </row>
    <row r="15" spans="1:5" x14ac:dyDescent="0.3">
      <c r="A15">
        <v>14</v>
      </c>
      <c r="B15">
        <v>0</v>
      </c>
      <c r="C15">
        <v>0</v>
      </c>
      <c r="D15">
        <v>342.36</v>
      </c>
      <c r="E15">
        <v>-20</v>
      </c>
    </row>
    <row r="16" spans="1:5" x14ac:dyDescent="0.3">
      <c r="A16">
        <v>15</v>
      </c>
      <c r="B16">
        <v>0</v>
      </c>
      <c r="C16">
        <v>0</v>
      </c>
      <c r="D16">
        <v>248.3734</v>
      </c>
      <c r="E16">
        <v>112.8</v>
      </c>
    </row>
    <row r="17" spans="1:5" x14ac:dyDescent="0.3">
      <c r="A17">
        <v>16</v>
      </c>
      <c r="B17">
        <v>0</v>
      </c>
      <c r="C17">
        <v>0</v>
      </c>
      <c r="D17">
        <v>339.49340000000001</v>
      </c>
      <c r="E17">
        <v>72.48</v>
      </c>
    </row>
    <row r="18" spans="1:5" x14ac:dyDescent="0.3">
      <c r="A18">
        <v>17</v>
      </c>
      <c r="B18">
        <v>0</v>
      </c>
      <c r="C18">
        <v>0</v>
      </c>
      <c r="D18">
        <v>94.24</v>
      </c>
      <c r="E18">
        <v>42.48</v>
      </c>
    </row>
    <row r="19" spans="1:5" x14ac:dyDescent="0.3">
      <c r="A19">
        <v>18</v>
      </c>
      <c r="B19">
        <v>1</v>
      </c>
      <c r="C19">
        <v>1248</v>
      </c>
      <c r="D19">
        <v>0</v>
      </c>
      <c r="E19">
        <v>0</v>
      </c>
    </row>
    <row r="20" spans="1:5" x14ac:dyDescent="0.3">
      <c r="A20">
        <v>19</v>
      </c>
      <c r="B20">
        <v>0</v>
      </c>
      <c r="C20">
        <v>0</v>
      </c>
      <c r="D20">
        <v>0</v>
      </c>
      <c r="E20">
        <v>0</v>
      </c>
    </row>
    <row r="21" spans="1:5" x14ac:dyDescent="0.3">
      <c r="A21">
        <v>20</v>
      </c>
      <c r="B21">
        <v>0</v>
      </c>
      <c r="C21">
        <v>0</v>
      </c>
      <c r="D21">
        <v>0</v>
      </c>
      <c r="E21">
        <v>0</v>
      </c>
    </row>
    <row r="22" spans="1:5" x14ac:dyDescent="0.3">
      <c r="A22">
        <v>21</v>
      </c>
      <c r="B22">
        <v>0</v>
      </c>
      <c r="C22">
        <v>0</v>
      </c>
      <c r="D22">
        <v>294.39999999999998</v>
      </c>
      <c r="E22">
        <v>55.68</v>
      </c>
    </row>
    <row r="23" spans="1:5" x14ac:dyDescent="0.3">
      <c r="A23">
        <v>22</v>
      </c>
      <c r="B23">
        <v>0</v>
      </c>
      <c r="C23">
        <v>0</v>
      </c>
      <c r="D23">
        <v>0</v>
      </c>
      <c r="E23">
        <v>0</v>
      </c>
    </row>
    <row r="24" spans="1:5" x14ac:dyDescent="0.3">
      <c r="A24">
        <v>23</v>
      </c>
      <c r="B24">
        <v>0</v>
      </c>
      <c r="C24">
        <v>0</v>
      </c>
      <c r="D24">
        <v>139.65600000000001</v>
      </c>
      <c r="E24">
        <v>-6.56</v>
      </c>
    </row>
    <row r="25" spans="1:5" x14ac:dyDescent="0.3">
      <c r="A25">
        <v>24</v>
      </c>
      <c r="B25">
        <v>0</v>
      </c>
      <c r="C25">
        <v>0</v>
      </c>
      <c r="D25">
        <v>0</v>
      </c>
      <c r="E25">
        <v>0</v>
      </c>
    </row>
    <row r="26" spans="1:5" x14ac:dyDescent="0.3">
      <c r="A26">
        <v>25</v>
      </c>
      <c r="B26">
        <v>0</v>
      </c>
      <c r="C26">
        <v>0</v>
      </c>
      <c r="D26">
        <v>0</v>
      </c>
      <c r="E26">
        <v>0</v>
      </c>
    </row>
    <row r="27" spans="1:5" x14ac:dyDescent="0.3">
      <c r="A27">
        <v>26</v>
      </c>
      <c r="B27">
        <v>0</v>
      </c>
      <c r="C27">
        <v>0</v>
      </c>
      <c r="D27">
        <v>0</v>
      </c>
      <c r="E27">
        <v>0</v>
      </c>
    </row>
    <row r="28" spans="1:5" x14ac:dyDescent="0.3">
      <c r="A28">
        <v>27</v>
      </c>
      <c r="B28">
        <v>1</v>
      </c>
      <c r="C28">
        <v>1060</v>
      </c>
      <c r="D28">
        <v>0</v>
      </c>
      <c r="E28">
        <v>0</v>
      </c>
    </row>
    <row r="29" spans="1:5" x14ac:dyDescent="0.3">
      <c r="A29">
        <v>28</v>
      </c>
      <c r="B29">
        <v>0</v>
      </c>
      <c r="C29">
        <v>0</v>
      </c>
      <c r="D29">
        <v>0</v>
      </c>
      <c r="E29">
        <v>0</v>
      </c>
    </row>
    <row r="30" spans="1:5" x14ac:dyDescent="0.3">
      <c r="A30">
        <v>29</v>
      </c>
      <c r="B30">
        <v>1</v>
      </c>
      <c r="C30">
        <v>72</v>
      </c>
      <c r="D30">
        <v>0</v>
      </c>
      <c r="E30">
        <v>0</v>
      </c>
    </row>
    <row r="31" spans="1:5" x14ac:dyDescent="0.3">
      <c r="A31">
        <v>30</v>
      </c>
      <c r="B31">
        <v>0</v>
      </c>
      <c r="C31">
        <v>0</v>
      </c>
      <c r="D31">
        <v>100.83199999999999</v>
      </c>
      <c r="E31">
        <v>31.84</v>
      </c>
    </row>
    <row r="32" spans="1:5" x14ac:dyDescent="0.3">
      <c r="A32">
        <v>31</v>
      </c>
      <c r="B32">
        <v>1</v>
      </c>
      <c r="C32">
        <v>96</v>
      </c>
      <c r="D32">
        <v>0</v>
      </c>
      <c r="E32">
        <v>0</v>
      </c>
    </row>
    <row r="33" spans="1:5" x14ac:dyDescent="0.3">
      <c r="A33">
        <v>32</v>
      </c>
      <c r="B33">
        <v>1</v>
      </c>
      <c r="C33">
        <v>192.8</v>
      </c>
      <c r="D33">
        <v>0</v>
      </c>
      <c r="E33">
        <v>0</v>
      </c>
    </row>
    <row r="34" spans="1:5" x14ac:dyDescent="0.3">
      <c r="A34">
        <v>33</v>
      </c>
      <c r="B34">
        <v>0</v>
      </c>
      <c r="C34">
        <v>0</v>
      </c>
      <c r="D34">
        <v>0</v>
      </c>
      <c r="E34">
        <v>0</v>
      </c>
    </row>
    <row r="35" spans="1:5" x14ac:dyDescent="0.3">
      <c r="A35">
        <v>34</v>
      </c>
      <c r="B35">
        <v>2</v>
      </c>
      <c r="C35">
        <v>1060.8</v>
      </c>
      <c r="D35">
        <v>0</v>
      </c>
      <c r="E35">
        <v>0</v>
      </c>
    </row>
    <row r="36" spans="1:5" x14ac:dyDescent="0.3">
      <c r="A36">
        <v>35</v>
      </c>
      <c r="B36">
        <v>0</v>
      </c>
      <c r="C36">
        <v>0</v>
      </c>
      <c r="D36">
        <v>0</v>
      </c>
      <c r="E36">
        <v>0</v>
      </c>
    </row>
    <row r="37" spans="1:5" x14ac:dyDescent="0.3">
      <c r="A37">
        <v>36</v>
      </c>
      <c r="B37">
        <v>0</v>
      </c>
      <c r="C37">
        <v>0</v>
      </c>
      <c r="D37">
        <v>650.4</v>
      </c>
      <c r="E37">
        <v>88</v>
      </c>
    </row>
    <row r="38" spans="1:5" x14ac:dyDescent="0.3">
      <c r="A38">
        <v>37</v>
      </c>
      <c r="B38">
        <v>0</v>
      </c>
      <c r="C38">
        <v>0</v>
      </c>
      <c r="D38">
        <v>489.6</v>
      </c>
      <c r="E38">
        <v>-364</v>
      </c>
    </row>
    <row r="39" spans="1:5" x14ac:dyDescent="0.3">
      <c r="A39">
        <v>38</v>
      </c>
      <c r="B39">
        <v>1</v>
      </c>
      <c r="C39">
        <v>392</v>
      </c>
      <c r="D39">
        <v>0</v>
      </c>
      <c r="E39">
        <v>0</v>
      </c>
    </row>
    <row r="40" spans="1:5" x14ac:dyDescent="0.3">
      <c r="A40">
        <v>39</v>
      </c>
      <c r="B40">
        <v>0</v>
      </c>
      <c r="C40">
        <v>0</v>
      </c>
      <c r="D40">
        <v>323.2</v>
      </c>
      <c r="E40">
        <v>108</v>
      </c>
    </row>
    <row r="41" spans="1:5" x14ac:dyDescent="0.3">
      <c r="A41">
        <v>40</v>
      </c>
      <c r="B41">
        <v>0</v>
      </c>
      <c r="C41">
        <v>0</v>
      </c>
      <c r="D41">
        <v>314.39999999999998</v>
      </c>
      <c r="E41">
        <v>-88.8</v>
      </c>
    </row>
    <row r="42" spans="1:5" x14ac:dyDescent="0.3">
      <c r="A42">
        <v>41</v>
      </c>
      <c r="B42">
        <v>0</v>
      </c>
      <c r="C42">
        <v>0</v>
      </c>
      <c r="D42">
        <v>209.6</v>
      </c>
      <c r="E42">
        <v>10.56</v>
      </c>
    </row>
    <row r="43" spans="1:5" x14ac:dyDescent="0.3">
      <c r="A43">
        <v>42</v>
      </c>
      <c r="B43">
        <v>0</v>
      </c>
      <c r="C43">
        <v>0</v>
      </c>
      <c r="D43">
        <v>183.2</v>
      </c>
      <c r="E43">
        <v>146.4</v>
      </c>
    </row>
    <row r="44" spans="1:5" x14ac:dyDescent="0.3">
      <c r="A44">
        <v>43</v>
      </c>
      <c r="B44">
        <v>0</v>
      </c>
      <c r="C44">
        <v>0</v>
      </c>
      <c r="D44">
        <v>147.19999999999999</v>
      </c>
      <c r="E44">
        <v>48.16</v>
      </c>
    </row>
    <row r="45" spans="1:5" x14ac:dyDescent="0.3">
      <c r="A45">
        <v>44</v>
      </c>
      <c r="B45">
        <v>0</v>
      </c>
      <c r="C45">
        <v>0</v>
      </c>
      <c r="D45">
        <v>111.2</v>
      </c>
      <c r="E45">
        <v>42.96</v>
      </c>
    </row>
    <row r="46" spans="1:5" x14ac:dyDescent="0.3">
      <c r="A46">
        <v>45</v>
      </c>
      <c r="B46">
        <v>0</v>
      </c>
      <c r="C46">
        <v>0</v>
      </c>
      <c r="D46">
        <v>72.08</v>
      </c>
      <c r="E46">
        <v>44.24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7"/>
  <sheetViews>
    <sheetView workbookViewId="0"/>
  </sheetViews>
  <sheetFormatPr defaultRowHeight="14.4" x14ac:dyDescent="0.3"/>
  <cols>
    <col min="2" max="2" width="22.88671875" bestFit="1" customWidth="1"/>
  </cols>
  <sheetData>
    <row r="1" spans="1:2" x14ac:dyDescent="0.3">
      <c r="A1" s="1" t="s">
        <v>0</v>
      </c>
      <c r="B1" s="1" t="s">
        <v>56</v>
      </c>
    </row>
    <row r="2" spans="1:2" x14ac:dyDescent="0.3">
      <c r="A2">
        <v>1</v>
      </c>
      <c r="B2">
        <v>-2</v>
      </c>
    </row>
    <row r="3" spans="1:2" x14ac:dyDescent="0.3">
      <c r="A3">
        <v>20</v>
      </c>
      <c r="B3">
        <v>-1.5</v>
      </c>
    </row>
    <row r="4" spans="1:2" x14ac:dyDescent="0.3">
      <c r="A4">
        <v>21</v>
      </c>
      <c r="B4">
        <v>-1.5</v>
      </c>
    </row>
    <row r="5" spans="1:2" x14ac:dyDescent="0.3">
      <c r="A5">
        <v>23</v>
      </c>
      <c r="B5">
        <v>-1</v>
      </c>
    </row>
    <row r="6" spans="1:2" x14ac:dyDescent="0.3">
      <c r="A6">
        <v>24</v>
      </c>
      <c r="B6">
        <v>-1.5</v>
      </c>
    </row>
    <row r="7" spans="1:2" x14ac:dyDescent="0.3">
      <c r="A7">
        <v>25</v>
      </c>
      <c r="B7">
        <v>-1.5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B3857-5F98-484C-A400-52C25A31E5DF}">
  <dimension ref="A1:G46"/>
  <sheetViews>
    <sheetView tabSelected="1" workbookViewId="0">
      <selection activeCell="D8" sqref="D8"/>
    </sheetView>
  </sheetViews>
  <sheetFormatPr defaultRowHeight="14.4" x14ac:dyDescent="0.3"/>
  <sheetData>
    <row r="1" spans="1:7" x14ac:dyDescent="0.3">
      <c r="A1" t="s">
        <v>0</v>
      </c>
      <c r="B1" t="s">
        <v>1</v>
      </c>
      <c r="C1" t="s">
        <v>59</v>
      </c>
      <c r="D1" t="s">
        <v>60</v>
      </c>
      <c r="E1" t="s">
        <v>61</v>
      </c>
      <c r="F1" t="s">
        <v>62</v>
      </c>
      <c r="G1" t="s">
        <v>63</v>
      </c>
    </row>
    <row r="2" spans="1:7" x14ac:dyDescent="0.3">
      <c r="A2">
        <v>1</v>
      </c>
      <c r="B2" t="s">
        <v>2</v>
      </c>
      <c r="F2">
        <v>-24.243351700000002</v>
      </c>
      <c r="G2">
        <v>-51.671926800000001</v>
      </c>
    </row>
    <row r="3" spans="1:7" x14ac:dyDescent="0.3">
      <c r="A3">
        <v>2</v>
      </c>
      <c r="B3" t="s">
        <v>3</v>
      </c>
      <c r="F3">
        <v>-25.5403156</v>
      </c>
      <c r="G3">
        <v>-49.289341800000003</v>
      </c>
    </row>
    <row r="4" spans="1:7" x14ac:dyDescent="0.3">
      <c r="A4">
        <v>3</v>
      </c>
      <c r="B4" t="s">
        <v>4</v>
      </c>
    </row>
    <row r="5" spans="1:7" x14ac:dyDescent="0.3">
      <c r="A5">
        <v>4</v>
      </c>
      <c r="B5" t="s">
        <v>5</v>
      </c>
    </row>
    <row r="6" spans="1:7" x14ac:dyDescent="0.3">
      <c r="A6">
        <v>5</v>
      </c>
      <c r="B6" t="s">
        <v>6</v>
      </c>
    </row>
    <row r="7" spans="1:7" x14ac:dyDescent="0.3">
      <c r="A7">
        <v>6</v>
      </c>
      <c r="B7" t="s">
        <v>7</v>
      </c>
      <c r="F7">
        <v>-8.0236742000000003</v>
      </c>
      <c r="G7">
        <v>-34.9832295</v>
      </c>
    </row>
    <row r="8" spans="1:7" x14ac:dyDescent="0.3">
      <c r="A8">
        <v>7</v>
      </c>
      <c r="B8" t="s">
        <v>8</v>
      </c>
      <c r="F8">
        <v>-8.0236742000000003</v>
      </c>
      <c r="G8">
        <v>-34.9832295</v>
      </c>
    </row>
    <row r="9" spans="1:7" x14ac:dyDescent="0.3">
      <c r="A9">
        <v>8</v>
      </c>
      <c r="B9" t="s">
        <v>9</v>
      </c>
      <c r="F9">
        <v>-26.2714073</v>
      </c>
      <c r="G9">
        <v>-48.843826399999998</v>
      </c>
    </row>
    <row r="10" spans="1:7" x14ac:dyDescent="0.3">
      <c r="A10">
        <v>9</v>
      </c>
      <c r="B10" t="s">
        <v>10</v>
      </c>
      <c r="F10">
        <v>-12.9024188</v>
      </c>
      <c r="G10">
        <v>-38.4282258</v>
      </c>
    </row>
    <row r="11" spans="1:7" x14ac:dyDescent="0.3">
      <c r="A11">
        <v>10</v>
      </c>
      <c r="B11" t="s">
        <v>11</v>
      </c>
    </row>
    <row r="12" spans="1:7" x14ac:dyDescent="0.3">
      <c r="A12">
        <v>11</v>
      </c>
      <c r="B12" t="s">
        <v>12</v>
      </c>
      <c r="F12">
        <v>-31.7746724</v>
      </c>
      <c r="G12">
        <v>-52.352801200000002</v>
      </c>
    </row>
    <row r="13" spans="1:7" x14ac:dyDescent="0.3">
      <c r="A13">
        <v>12</v>
      </c>
      <c r="B13" t="s">
        <v>13</v>
      </c>
      <c r="F13">
        <v>-22.808144200000001</v>
      </c>
      <c r="G13">
        <v>-43.212771600000004</v>
      </c>
    </row>
    <row r="14" spans="1:7" x14ac:dyDescent="0.3">
      <c r="A14">
        <v>13</v>
      </c>
      <c r="B14" t="s">
        <v>14</v>
      </c>
      <c r="F14">
        <v>-21.186192699999999</v>
      </c>
      <c r="G14">
        <v>-41.8922442</v>
      </c>
    </row>
    <row r="15" spans="1:7" x14ac:dyDescent="0.3">
      <c r="A15">
        <v>14</v>
      </c>
      <c r="B15" t="s">
        <v>15</v>
      </c>
      <c r="F15">
        <v>-1.3954588999999999</v>
      </c>
      <c r="G15">
        <v>-48.4739766</v>
      </c>
    </row>
    <row r="16" spans="1:7" x14ac:dyDescent="0.3">
      <c r="A16">
        <v>15</v>
      </c>
      <c r="B16" t="s">
        <v>16</v>
      </c>
      <c r="F16">
        <v>-3.7331463999999999</v>
      </c>
      <c r="G16">
        <v>-38.482101399999998</v>
      </c>
    </row>
    <row r="17" spans="1:7" x14ac:dyDescent="0.3">
      <c r="A17">
        <v>16</v>
      </c>
      <c r="B17" t="s">
        <v>17</v>
      </c>
      <c r="F17">
        <v>-26.2982519</v>
      </c>
      <c r="G17">
        <v>-48.850405100000003</v>
      </c>
    </row>
    <row r="18" spans="1:7" x14ac:dyDescent="0.3">
      <c r="A18">
        <v>17</v>
      </c>
      <c r="B18" t="s">
        <v>18</v>
      </c>
    </row>
    <row r="19" spans="1:7" x14ac:dyDescent="0.3">
      <c r="A19">
        <v>18</v>
      </c>
      <c r="B19" t="s">
        <v>19</v>
      </c>
      <c r="F19">
        <v>-23.603505899999998</v>
      </c>
      <c r="G19">
        <v>-46.862516499999998</v>
      </c>
    </row>
    <row r="20" spans="1:7" x14ac:dyDescent="0.3">
      <c r="A20">
        <v>19</v>
      </c>
      <c r="B20" t="s">
        <v>20</v>
      </c>
      <c r="F20">
        <v>-6.9680242999999997</v>
      </c>
      <c r="G20">
        <v>-35.699478300000003</v>
      </c>
    </row>
    <row r="21" spans="1:7" x14ac:dyDescent="0.3">
      <c r="A21">
        <v>20</v>
      </c>
      <c r="B21" t="s">
        <v>21</v>
      </c>
      <c r="F21">
        <v>-3.7578128999999998</v>
      </c>
      <c r="G21">
        <v>-38.588226400000003</v>
      </c>
    </row>
    <row r="22" spans="1:7" x14ac:dyDescent="0.3">
      <c r="A22">
        <v>21</v>
      </c>
      <c r="B22" t="s">
        <v>22</v>
      </c>
    </row>
    <row r="23" spans="1:7" x14ac:dyDescent="0.3">
      <c r="A23">
        <v>22</v>
      </c>
      <c r="B23" t="s">
        <v>23</v>
      </c>
      <c r="F23">
        <v>-26.919556700000001</v>
      </c>
      <c r="G23">
        <v>-49.065802499999997</v>
      </c>
    </row>
    <row r="24" spans="1:7" x14ac:dyDescent="0.3">
      <c r="A24">
        <v>23</v>
      </c>
      <c r="B24" t="s">
        <v>24</v>
      </c>
      <c r="F24">
        <v>-26.252409400000001</v>
      </c>
      <c r="G24">
        <v>-53.634976399999999</v>
      </c>
    </row>
    <row r="25" spans="1:7" x14ac:dyDescent="0.3">
      <c r="A25">
        <v>24</v>
      </c>
      <c r="B25" t="s">
        <v>25</v>
      </c>
      <c r="F25">
        <v>-29.944022199999999</v>
      </c>
      <c r="G25">
        <v>-50.993093799999997</v>
      </c>
    </row>
    <row r="26" spans="1:7" x14ac:dyDescent="0.3">
      <c r="A26">
        <v>25</v>
      </c>
      <c r="B26" t="s">
        <v>26</v>
      </c>
      <c r="F26">
        <v>-28.385327499999999</v>
      </c>
      <c r="G26">
        <v>-53.936143100000002</v>
      </c>
    </row>
    <row r="27" spans="1:7" x14ac:dyDescent="0.3">
      <c r="A27">
        <v>26</v>
      </c>
      <c r="B27" t="s">
        <v>27</v>
      </c>
      <c r="F27">
        <v>-3.7923776999999999</v>
      </c>
      <c r="G27">
        <v>-38.496881299999998</v>
      </c>
    </row>
    <row r="28" spans="1:7" x14ac:dyDescent="0.3">
      <c r="A28">
        <v>27</v>
      </c>
      <c r="B28" t="s">
        <v>28</v>
      </c>
    </row>
    <row r="29" spans="1:7" x14ac:dyDescent="0.3">
      <c r="A29">
        <v>28</v>
      </c>
      <c r="B29" t="s">
        <v>29</v>
      </c>
    </row>
    <row r="30" spans="1:7" x14ac:dyDescent="0.3">
      <c r="A30">
        <v>29</v>
      </c>
      <c r="B30" t="s">
        <v>30</v>
      </c>
    </row>
    <row r="31" spans="1:7" x14ac:dyDescent="0.3">
      <c r="A31">
        <v>30</v>
      </c>
      <c r="B31" t="s">
        <v>31</v>
      </c>
    </row>
    <row r="32" spans="1:7" x14ac:dyDescent="0.3">
      <c r="A32">
        <v>31</v>
      </c>
      <c r="B32" t="s">
        <v>32</v>
      </c>
    </row>
    <row r="33" spans="1:7" x14ac:dyDescent="0.3">
      <c r="A33">
        <v>32</v>
      </c>
      <c r="B33" t="s">
        <v>33</v>
      </c>
    </row>
    <row r="34" spans="1:7" x14ac:dyDescent="0.3">
      <c r="A34">
        <v>33</v>
      </c>
      <c r="B34" t="s">
        <v>34</v>
      </c>
    </row>
    <row r="35" spans="1:7" x14ac:dyDescent="0.3">
      <c r="A35">
        <v>34</v>
      </c>
      <c r="B35" t="s">
        <v>35</v>
      </c>
      <c r="F35">
        <v>-29.343127200000001</v>
      </c>
      <c r="G35">
        <v>-52.979378799999999</v>
      </c>
    </row>
    <row r="36" spans="1:7" x14ac:dyDescent="0.3">
      <c r="A36">
        <v>35</v>
      </c>
      <c r="B36" t="s">
        <v>36</v>
      </c>
      <c r="F36">
        <v>-25.737714400000002</v>
      </c>
      <c r="G36">
        <v>-52.120918799999998</v>
      </c>
    </row>
    <row r="37" spans="1:7" x14ac:dyDescent="0.3">
      <c r="A37">
        <v>36</v>
      </c>
      <c r="B37" t="s">
        <v>37</v>
      </c>
      <c r="F37">
        <v>-14.3680901</v>
      </c>
      <c r="G37">
        <v>-39.295134599999997</v>
      </c>
    </row>
    <row r="38" spans="1:7" x14ac:dyDescent="0.3">
      <c r="A38">
        <v>37</v>
      </c>
      <c r="B38" t="s">
        <v>38</v>
      </c>
      <c r="F38">
        <v>-29.944022199999999</v>
      </c>
      <c r="G38">
        <v>-50.993093799999997</v>
      </c>
    </row>
    <row r="39" spans="1:7" x14ac:dyDescent="0.3">
      <c r="A39">
        <v>38</v>
      </c>
      <c r="B39" t="s">
        <v>39</v>
      </c>
      <c r="F39">
        <v>-3.6102693000000001</v>
      </c>
      <c r="G39">
        <v>-64.3269935</v>
      </c>
    </row>
    <row r="40" spans="1:7" x14ac:dyDescent="0.3">
      <c r="A40">
        <v>39</v>
      </c>
      <c r="B40" t="s">
        <v>40</v>
      </c>
      <c r="F40">
        <v>-3.6102693000000001</v>
      </c>
      <c r="G40">
        <v>-64.3269935</v>
      </c>
    </row>
    <row r="41" spans="1:7" x14ac:dyDescent="0.3">
      <c r="A41">
        <v>40</v>
      </c>
      <c r="B41" t="s">
        <v>41</v>
      </c>
      <c r="F41">
        <v>-28.385327499999999</v>
      </c>
      <c r="G41">
        <v>-53.936143100000002</v>
      </c>
    </row>
    <row r="42" spans="1:7" x14ac:dyDescent="0.3">
      <c r="A42">
        <v>41</v>
      </c>
      <c r="B42" t="s">
        <v>42</v>
      </c>
    </row>
    <row r="43" spans="1:7" x14ac:dyDescent="0.3">
      <c r="A43">
        <v>42</v>
      </c>
      <c r="B43" t="s">
        <v>43</v>
      </c>
      <c r="F43">
        <v>-23.318869800000002</v>
      </c>
      <c r="G43">
        <v>-51.226990700000002</v>
      </c>
    </row>
    <row r="44" spans="1:7" x14ac:dyDescent="0.3">
      <c r="A44">
        <v>43</v>
      </c>
      <c r="B44" t="s">
        <v>44</v>
      </c>
      <c r="F44">
        <v>-26.872641999999999</v>
      </c>
      <c r="G44">
        <v>-49.110232099999998</v>
      </c>
    </row>
    <row r="45" spans="1:7" x14ac:dyDescent="0.3">
      <c r="A45">
        <v>44</v>
      </c>
      <c r="B45" t="s">
        <v>45</v>
      </c>
      <c r="F45">
        <v>-23.7738975</v>
      </c>
      <c r="G45">
        <v>-46.721007800000002</v>
      </c>
    </row>
    <row r="46" spans="1:7" x14ac:dyDescent="0.3">
      <c r="A46">
        <v>45</v>
      </c>
      <c r="B46" t="s">
        <v>46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bus</vt:lpstr>
      <vt:lpstr>line</vt:lpstr>
      <vt:lpstr>load_gen</vt:lpstr>
      <vt:lpstr>shunt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Pedro Victor Rodrigues Veras</cp:lastModifiedBy>
  <dcterms:created xsi:type="dcterms:W3CDTF">2025-12-23T14:01:18Z</dcterms:created>
  <dcterms:modified xsi:type="dcterms:W3CDTF">2026-05-26T23:09:51Z</dcterms:modified>
</cp:coreProperties>
</file>