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sbr-my.sharepoint.com/personal/pedrovictor_veras_ons_org_br/Documents/Documentos/GitHub/"/>
    </mc:Choice>
  </mc:AlternateContent>
  <xr:revisionPtr revIDLastSave="19" documentId="8_{293ECD54-7437-4762-99EA-D72BAA24F3B0}" xr6:coauthVersionLast="47" xr6:coauthVersionMax="47" xr10:uidLastSave="{4EA509D5-F185-4D0C-9C7D-ECC53C4936C4}"/>
  <bookViews>
    <workbookView xWindow="14295" yWindow="0" windowWidth="14610" windowHeight="15585" xr2:uid="{C03ACD23-91AF-47C5-8C9E-A5419A103F57}"/>
  </bookViews>
  <sheets>
    <sheet name="Planilha1" sheetId="1" r:id="rId1"/>
  </sheets>
  <definedNames>
    <definedName name="_xlnm._FilterDatabase" localSheetId="0" hidden="1">Planilha1!$A$4:$AJ$375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75" i="1" l="1"/>
  <c r="AE375" i="1"/>
  <c r="AD375" i="1"/>
  <c r="W375" i="1"/>
  <c r="V375" i="1"/>
  <c r="U375" i="1"/>
  <c r="T375" i="1"/>
  <c r="N375" i="1"/>
  <c r="M375" i="1"/>
  <c r="J375" i="1"/>
  <c r="H375" i="1"/>
  <c r="G375" i="1"/>
  <c r="F375" i="1"/>
  <c r="E375" i="1"/>
  <c r="AF374" i="1"/>
  <c r="AE374" i="1"/>
  <c r="AD374" i="1"/>
  <c r="W374" i="1"/>
  <c r="V374" i="1"/>
  <c r="U374" i="1"/>
  <c r="T374" i="1"/>
  <c r="M374" i="1"/>
  <c r="N374" i="1" s="1"/>
  <c r="J374" i="1"/>
  <c r="H374" i="1"/>
  <c r="G374" i="1"/>
  <c r="F374" i="1"/>
  <c r="E374" i="1"/>
  <c r="AF373" i="1"/>
  <c r="AE373" i="1"/>
  <c r="AD373" i="1"/>
  <c r="W373" i="1"/>
  <c r="V373" i="1"/>
  <c r="U373" i="1"/>
  <c r="T373" i="1"/>
  <c r="M373" i="1"/>
  <c r="N373" i="1" s="1"/>
  <c r="J373" i="1"/>
  <c r="H373" i="1"/>
  <c r="G373" i="1"/>
  <c r="F373" i="1"/>
  <c r="E373" i="1"/>
  <c r="AF372" i="1"/>
  <c r="AE372" i="1"/>
  <c r="AD372" i="1"/>
  <c r="W372" i="1"/>
  <c r="V372" i="1"/>
  <c r="U372" i="1"/>
  <c r="T372" i="1"/>
  <c r="M372" i="1"/>
  <c r="N372" i="1" s="1"/>
  <c r="J372" i="1"/>
  <c r="H372" i="1"/>
  <c r="G372" i="1"/>
  <c r="F372" i="1"/>
  <c r="E372" i="1"/>
  <c r="AF371" i="1"/>
  <c r="AE371" i="1"/>
  <c r="AD371" i="1"/>
  <c r="W371" i="1"/>
  <c r="V371" i="1"/>
  <c r="U371" i="1"/>
  <c r="T371" i="1"/>
  <c r="M371" i="1"/>
  <c r="N371" i="1" s="1"/>
  <c r="J371" i="1"/>
  <c r="H371" i="1"/>
  <c r="G371" i="1"/>
  <c r="F371" i="1"/>
  <c r="E371" i="1"/>
  <c r="AF370" i="1"/>
  <c r="AE370" i="1"/>
  <c r="AD370" i="1"/>
  <c r="W370" i="1"/>
  <c r="V370" i="1"/>
  <c r="U370" i="1"/>
  <c r="T370" i="1"/>
  <c r="M370" i="1"/>
  <c r="N370" i="1" s="1"/>
  <c r="J370" i="1"/>
  <c r="H370" i="1"/>
  <c r="G370" i="1"/>
  <c r="F370" i="1"/>
  <c r="E370" i="1"/>
  <c r="AF369" i="1"/>
  <c r="AE369" i="1"/>
  <c r="AD369" i="1"/>
  <c r="W369" i="1"/>
  <c r="V369" i="1"/>
  <c r="U369" i="1"/>
  <c r="T369" i="1"/>
  <c r="M369" i="1"/>
  <c r="N369" i="1" s="1"/>
  <c r="J369" i="1"/>
  <c r="H369" i="1"/>
  <c r="G369" i="1"/>
  <c r="F369" i="1"/>
  <c r="E369" i="1"/>
  <c r="AF368" i="1"/>
  <c r="AE368" i="1"/>
  <c r="AD368" i="1"/>
  <c r="W368" i="1"/>
  <c r="V368" i="1"/>
  <c r="U368" i="1"/>
  <c r="T368" i="1"/>
  <c r="M368" i="1"/>
  <c r="N368" i="1" s="1"/>
  <c r="J368" i="1"/>
  <c r="H368" i="1"/>
  <c r="G368" i="1"/>
  <c r="F368" i="1"/>
  <c r="E368" i="1"/>
  <c r="AF367" i="1"/>
  <c r="AE367" i="1"/>
  <c r="AD367" i="1"/>
  <c r="W367" i="1"/>
  <c r="V367" i="1"/>
  <c r="U367" i="1"/>
  <c r="T367" i="1"/>
  <c r="M367" i="1"/>
  <c r="N367" i="1" s="1"/>
  <c r="J367" i="1"/>
  <c r="H367" i="1"/>
  <c r="G367" i="1"/>
  <c r="F367" i="1"/>
  <c r="E367" i="1"/>
  <c r="AF366" i="1"/>
  <c r="AE366" i="1"/>
  <c r="AD366" i="1"/>
  <c r="W366" i="1"/>
  <c r="V366" i="1"/>
  <c r="U366" i="1"/>
  <c r="T366" i="1"/>
  <c r="M366" i="1"/>
  <c r="N366" i="1" s="1"/>
  <c r="J366" i="1"/>
  <c r="H366" i="1"/>
  <c r="G366" i="1"/>
  <c r="F366" i="1"/>
  <c r="E366" i="1"/>
  <c r="AF365" i="1"/>
  <c r="AE365" i="1"/>
  <c r="AD365" i="1"/>
  <c r="W365" i="1"/>
  <c r="V365" i="1"/>
  <c r="U365" i="1"/>
  <c r="T365" i="1"/>
  <c r="M365" i="1"/>
  <c r="N365" i="1" s="1"/>
  <c r="J365" i="1"/>
  <c r="H365" i="1"/>
  <c r="G365" i="1"/>
  <c r="F365" i="1"/>
  <c r="E365" i="1"/>
  <c r="AF364" i="1"/>
  <c r="AE364" i="1"/>
  <c r="AD364" i="1"/>
  <c r="W364" i="1"/>
  <c r="V364" i="1"/>
  <c r="U364" i="1"/>
  <c r="T364" i="1"/>
  <c r="M364" i="1"/>
  <c r="N364" i="1" s="1"/>
  <c r="J364" i="1"/>
  <c r="H364" i="1"/>
  <c r="G364" i="1"/>
  <c r="F364" i="1"/>
  <c r="E364" i="1"/>
  <c r="AF363" i="1"/>
  <c r="AE363" i="1"/>
  <c r="AD363" i="1"/>
  <c r="W363" i="1"/>
  <c r="V363" i="1"/>
  <c r="U363" i="1"/>
  <c r="T363" i="1"/>
  <c r="M363" i="1"/>
  <c r="N363" i="1" s="1"/>
  <c r="J363" i="1"/>
  <c r="H363" i="1"/>
  <c r="G363" i="1"/>
  <c r="F363" i="1"/>
  <c r="E363" i="1"/>
  <c r="AF362" i="1"/>
  <c r="AE362" i="1"/>
  <c r="AD362" i="1"/>
  <c r="W362" i="1"/>
  <c r="V362" i="1"/>
  <c r="U362" i="1"/>
  <c r="T362" i="1"/>
  <c r="M362" i="1"/>
  <c r="N362" i="1" s="1"/>
  <c r="J362" i="1"/>
  <c r="H362" i="1"/>
  <c r="G362" i="1"/>
  <c r="F362" i="1"/>
  <c r="E362" i="1"/>
  <c r="AF361" i="1"/>
  <c r="AE361" i="1"/>
  <c r="AD361" i="1"/>
  <c r="W361" i="1"/>
  <c r="V361" i="1"/>
  <c r="U361" i="1"/>
  <c r="T361" i="1"/>
  <c r="M361" i="1"/>
  <c r="N361" i="1" s="1"/>
  <c r="J361" i="1"/>
  <c r="H361" i="1"/>
  <c r="G361" i="1"/>
  <c r="F361" i="1"/>
  <c r="E361" i="1"/>
  <c r="AF360" i="1"/>
  <c r="AE360" i="1"/>
  <c r="AD360" i="1"/>
  <c r="W360" i="1"/>
  <c r="V360" i="1"/>
  <c r="U360" i="1"/>
  <c r="T360" i="1"/>
  <c r="M360" i="1"/>
  <c r="N360" i="1" s="1"/>
  <c r="J360" i="1"/>
  <c r="H360" i="1"/>
  <c r="G360" i="1"/>
  <c r="F360" i="1"/>
  <c r="E360" i="1"/>
  <c r="AF359" i="1"/>
  <c r="AE359" i="1"/>
  <c r="AD359" i="1"/>
  <c r="W359" i="1"/>
  <c r="V359" i="1"/>
  <c r="U359" i="1"/>
  <c r="T359" i="1"/>
  <c r="M359" i="1"/>
  <c r="N359" i="1" s="1"/>
  <c r="J359" i="1"/>
  <c r="H359" i="1"/>
  <c r="G359" i="1"/>
  <c r="F359" i="1"/>
  <c r="E359" i="1"/>
  <c r="AF358" i="1"/>
  <c r="AE358" i="1"/>
  <c r="AD358" i="1"/>
  <c r="W358" i="1"/>
  <c r="V358" i="1"/>
  <c r="U358" i="1"/>
  <c r="T358" i="1"/>
  <c r="M358" i="1"/>
  <c r="N358" i="1" s="1"/>
  <c r="J358" i="1"/>
  <c r="H358" i="1"/>
  <c r="G358" i="1"/>
  <c r="F358" i="1"/>
  <c r="E358" i="1"/>
  <c r="AF357" i="1"/>
  <c r="AE357" i="1"/>
  <c r="AD357" i="1"/>
  <c r="W357" i="1"/>
  <c r="V357" i="1"/>
  <c r="U357" i="1"/>
  <c r="T357" i="1"/>
  <c r="M357" i="1"/>
  <c r="N357" i="1" s="1"/>
  <c r="J357" i="1"/>
  <c r="H357" i="1"/>
  <c r="G357" i="1"/>
  <c r="F357" i="1"/>
  <c r="E357" i="1"/>
  <c r="AF356" i="1"/>
  <c r="AE356" i="1"/>
  <c r="AD356" i="1"/>
  <c r="W356" i="1"/>
  <c r="V356" i="1"/>
  <c r="U356" i="1"/>
  <c r="T356" i="1"/>
  <c r="M356" i="1"/>
  <c r="N356" i="1" s="1"/>
  <c r="J356" i="1"/>
  <c r="H356" i="1"/>
  <c r="G356" i="1"/>
  <c r="F356" i="1"/>
  <c r="E356" i="1"/>
  <c r="AF355" i="1"/>
  <c r="AE355" i="1"/>
  <c r="AD355" i="1"/>
  <c r="W355" i="1"/>
  <c r="V355" i="1"/>
  <c r="U355" i="1"/>
  <c r="T355" i="1"/>
  <c r="M355" i="1"/>
  <c r="N355" i="1" s="1"/>
  <c r="J355" i="1"/>
  <c r="H355" i="1"/>
  <c r="G355" i="1"/>
  <c r="F355" i="1"/>
  <c r="E355" i="1"/>
  <c r="AF354" i="1"/>
  <c r="AE354" i="1"/>
  <c r="AD354" i="1"/>
  <c r="W354" i="1"/>
  <c r="V354" i="1"/>
  <c r="U354" i="1"/>
  <c r="T354" i="1"/>
  <c r="M354" i="1"/>
  <c r="N354" i="1" s="1"/>
  <c r="J354" i="1"/>
  <c r="H354" i="1"/>
  <c r="G354" i="1"/>
  <c r="F354" i="1"/>
  <c r="E354" i="1"/>
  <c r="AF353" i="1"/>
  <c r="AE353" i="1"/>
  <c r="AD353" i="1"/>
  <c r="W353" i="1"/>
  <c r="V353" i="1"/>
  <c r="U353" i="1"/>
  <c r="T353" i="1"/>
  <c r="M353" i="1"/>
  <c r="N353" i="1" s="1"/>
  <c r="J353" i="1"/>
  <c r="H353" i="1"/>
  <c r="G353" i="1"/>
  <c r="F353" i="1"/>
  <c r="E353" i="1"/>
  <c r="AF352" i="1"/>
  <c r="AE352" i="1"/>
  <c r="AD352" i="1"/>
  <c r="W352" i="1"/>
  <c r="V352" i="1"/>
  <c r="U352" i="1"/>
  <c r="T352" i="1"/>
  <c r="M352" i="1"/>
  <c r="N352" i="1" s="1"/>
  <c r="J352" i="1"/>
  <c r="H352" i="1"/>
  <c r="G352" i="1"/>
  <c r="F352" i="1"/>
  <c r="E352" i="1"/>
  <c r="AF351" i="1"/>
  <c r="AE351" i="1"/>
  <c r="AD351" i="1"/>
  <c r="W351" i="1"/>
  <c r="V351" i="1"/>
  <c r="U351" i="1"/>
  <c r="T351" i="1"/>
  <c r="M351" i="1"/>
  <c r="N351" i="1" s="1"/>
  <c r="J351" i="1"/>
  <c r="H351" i="1"/>
  <c r="G351" i="1"/>
  <c r="F351" i="1"/>
  <c r="E351" i="1"/>
  <c r="AF350" i="1"/>
  <c r="AE350" i="1"/>
  <c r="AD350" i="1"/>
  <c r="W350" i="1"/>
  <c r="V350" i="1"/>
  <c r="U350" i="1"/>
  <c r="T350" i="1"/>
  <c r="M350" i="1"/>
  <c r="N350" i="1" s="1"/>
  <c r="J350" i="1"/>
  <c r="H350" i="1"/>
  <c r="G350" i="1"/>
  <c r="F350" i="1"/>
  <c r="E350" i="1"/>
  <c r="AF349" i="1"/>
  <c r="AE349" i="1"/>
  <c r="AD349" i="1"/>
  <c r="W349" i="1"/>
  <c r="V349" i="1"/>
  <c r="U349" i="1"/>
  <c r="T349" i="1"/>
  <c r="M349" i="1"/>
  <c r="N349" i="1" s="1"/>
  <c r="J349" i="1"/>
  <c r="H349" i="1"/>
  <c r="G349" i="1"/>
  <c r="F349" i="1"/>
  <c r="E349" i="1"/>
  <c r="AF348" i="1"/>
  <c r="AE348" i="1"/>
  <c r="AD348" i="1"/>
  <c r="W348" i="1"/>
  <c r="V348" i="1"/>
  <c r="U348" i="1"/>
  <c r="T348" i="1"/>
  <c r="M348" i="1"/>
  <c r="N348" i="1" s="1"/>
  <c r="J348" i="1"/>
  <c r="H348" i="1"/>
  <c r="G348" i="1"/>
  <c r="F348" i="1"/>
  <c r="E348" i="1"/>
  <c r="AF347" i="1"/>
  <c r="AE347" i="1"/>
  <c r="AD347" i="1"/>
  <c r="W347" i="1"/>
  <c r="V347" i="1"/>
  <c r="U347" i="1"/>
  <c r="T347" i="1"/>
  <c r="M347" i="1"/>
  <c r="N347" i="1" s="1"/>
  <c r="J347" i="1"/>
  <c r="H347" i="1"/>
  <c r="G347" i="1"/>
  <c r="F347" i="1"/>
  <c r="E347" i="1"/>
  <c r="AF346" i="1"/>
  <c r="AE346" i="1"/>
  <c r="AD346" i="1"/>
  <c r="W346" i="1"/>
  <c r="V346" i="1"/>
  <c r="U346" i="1"/>
  <c r="T346" i="1"/>
  <c r="M346" i="1"/>
  <c r="N346" i="1" s="1"/>
  <c r="J346" i="1"/>
  <c r="H346" i="1"/>
  <c r="G346" i="1"/>
  <c r="F346" i="1"/>
  <c r="E346" i="1"/>
  <c r="AF345" i="1"/>
  <c r="AE345" i="1"/>
  <c r="AD345" i="1"/>
  <c r="W345" i="1"/>
  <c r="V345" i="1"/>
  <c r="U345" i="1"/>
  <c r="T345" i="1"/>
  <c r="M345" i="1"/>
  <c r="N345" i="1" s="1"/>
  <c r="J345" i="1"/>
  <c r="H345" i="1"/>
  <c r="G345" i="1"/>
  <c r="F345" i="1"/>
  <c r="E345" i="1"/>
  <c r="AF344" i="1"/>
  <c r="AE344" i="1"/>
  <c r="AD344" i="1"/>
  <c r="W344" i="1"/>
  <c r="V344" i="1"/>
  <c r="U344" i="1"/>
  <c r="T344" i="1"/>
  <c r="M344" i="1"/>
  <c r="N344" i="1" s="1"/>
  <c r="J344" i="1"/>
  <c r="H344" i="1"/>
  <c r="G344" i="1"/>
  <c r="F344" i="1"/>
  <c r="E344" i="1"/>
  <c r="AF343" i="1"/>
  <c r="AE343" i="1"/>
  <c r="AD343" i="1"/>
  <c r="W343" i="1"/>
  <c r="V343" i="1"/>
  <c r="U343" i="1"/>
  <c r="T343" i="1"/>
  <c r="N343" i="1"/>
  <c r="M343" i="1"/>
  <c r="J343" i="1"/>
  <c r="H343" i="1"/>
  <c r="G343" i="1"/>
  <c r="F343" i="1"/>
  <c r="E343" i="1"/>
  <c r="AF342" i="1"/>
  <c r="AE342" i="1"/>
  <c r="AD342" i="1"/>
  <c r="W342" i="1"/>
  <c r="V342" i="1"/>
  <c r="U342" i="1"/>
  <c r="T342" i="1"/>
  <c r="M342" i="1"/>
  <c r="N342" i="1" s="1"/>
  <c r="J342" i="1"/>
  <c r="H342" i="1"/>
  <c r="G342" i="1"/>
  <c r="F342" i="1"/>
  <c r="E342" i="1"/>
  <c r="AF341" i="1"/>
  <c r="AE341" i="1"/>
  <c r="AD341" i="1"/>
  <c r="W341" i="1"/>
  <c r="V341" i="1"/>
  <c r="U341" i="1"/>
  <c r="T341" i="1"/>
  <c r="M341" i="1"/>
  <c r="N341" i="1" s="1"/>
  <c r="J341" i="1"/>
  <c r="H341" i="1"/>
  <c r="G341" i="1"/>
  <c r="F341" i="1"/>
  <c r="E341" i="1"/>
  <c r="AF340" i="1"/>
  <c r="AE340" i="1"/>
  <c r="AD340" i="1"/>
  <c r="W340" i="1"/>
  <c r="V340" i="1"/>
  <c r="U340" i="1"/>
  <c r="T340" i="1"/>
  <c r="M340" i="1"/>
  <c r="N340" i="1" s="1"/>
  <c r="J340" i="1"/>
  <c r="H340" i="1"/>
  <c r="G340" i="1"/>
  <c r="F340" i="1"/>
  <c r="E340" i="1"/>
  <c r="AF339" i="1"/>
  <c r="AE339" i="1"/>
  <c r="AD339" i="1"/>
  <c r="W339" i="1"/>
  <c r="V339" i="1"/>
  <c r="U339" i="1"/>
  <c r="T339" i="1"/>
  <c r="M339" i="1"/>
  <c r="N339" i="1" s="1"/>
  <c r="J339" i="1"/>
  <c r="H339" i="1"/>
  <c r="G339" i="1"/>
  <c r="F339" i="1"/>
  <c r="E339" i="1"/>
  <c r="AF338" i="1"/>
  <c r="AE338" i="1"/>
  <c r="AD338" i="1"/>
  <c r="W338" i="1"/>
  <c r="V338" i="1"/>
  <c r="U338" i="1"/>
  <c r="T338" i="1"/>
  <c r="M338" i="1"/>
  <c r="N338" i="1" s="1"/>
  <c r="J338" i="1"/>
  <c r="H338" i="1"/>
  <c r="G338" i="1"/>
  <c r="F338" i="1"/>
  <c r="E338" i="1"/>
  <c r="AF337" i="1"/>
  <c r="AE337" i="1"/>
  <c r="AD337" i="1"/>
  <c r="W337" i="1"/>
  <c r="V337" i="1"/>
  <c r="U337" i="1"/>
  <c r="T337" i="1"/>
  <c r="M337" i="1"/>
  <c r="N337" i="1" s="1"/>
  <c r="J337" i="1"/>
  <c r="H337" i="1"/>
  <c r="G337" i="1"/>
  <c r="F337" i="1"/>
  <c r="E337" i="1"/>
  <c r="AF336" i="1"/>
  <c r="AE336" i="1"/>
  <c r="AD336" i="1"/>
  <c r="W336" i="1"/>
  <c r="V336" i="1"/>
  <c r="U336" i="1"/>
  <c r="T336" i="1"/>
  <c r="M336" i="1"/>
  <c r="N336" i="1" s="1"/>
  <c r="J336" i="1"/>
  <c r="H336" i="1"/>
  <c r="G336" i="1"/>
  <c r="F336" i="1"/>
  <c r="E336" i="1"/>
  <c r="AF335" i="1"/>
  <c r="AE335" i="1"/>
  <c r="AD335" i="1"/>
  <c r="W335" i="1"/>
  <c r="V335" i="1"/>
  <c r="U335" i="1"/>
  <c r="T335" i="1"/>
  <c r="M335" i="1"/>
  <c r="N335" i="1" s="1"/>
  <c r="J335" i="1"/>
  <c r="H335" i="1"/>
  <c r="G335" i="1"/>
  <c r="F335" i="1"/>
  <c r="E335" i="1"/>
  <c r="AF334" i="1"/>
  <c r="AE334" i="1"/>
  <c r="AD334" i="1"/>
  <c r="W334" i="1"/>
  <c r="V334" i="1"/>
  <c r="U334" i="1"/>
  <c r="T334" i="1"/>
  <c r="M334" i="1"/>
  <c r="N334" i="1" s="1"/>
  <c r="J334" i="1"/>
  <c r="H334" i="1"/>
  <c r="G334" i="1"/>
  <c r="F334" i="1"/>
  <c r="E334" i="1"/>
  <c r="AF333" i="1"/>
  <c r="AE333" i="1"/>
  <c r="AD333" i="1"/>
  <c r="W333" i="1"/>
  <c r="V333" i="1"/>
  <c r="U333" i="1"/>
  <c r="T333" i="1"/>
  <c r="M333" i="1"/>
  <c r="N333" i="1" s="1"/>
  <c r="J333" i="1"/>
  <c r="H333" i="1"/>
  <c r="G333" i="1"/>
  <c r="F333" i="1"/>
  <c r="E333" i="1"/>
  <c r="AF332" i="1"/>
  <c r="AE332" i="1"/>
  <c r="AD332" i="1"/>
  <c r="W332" i="1"/>
  <c r="V332" i="1"/>
  <c r="U332" i="1"/>
  <c r="T332" i="1"/>
  <c r="M332" i="1"/>
  <c r="N332" i="1" s="1"/>
  <c r="J332" i="1"/>
  <c r="H332" i="1"/>
  <c r="G332" i="1"/>
  <c r="F332" i="1"/>
  <c r="E332" i="1"/>
  <c r="AF331" i="1"/>
  <c r="AE331" i="1"/>
  <c r="AD331" i="1"/>
  <c r="W331" i="1"/>
  <c r="V331" i="1"/>
  <c r="U331" i="1"/>
  <c r="T331" i="1"/>
  <c r="M331" i="1"/>
  <c r="N331" i="1" s="1"/>
  <c r="J331" i="1"/>
  <c r="H331" i="1"/>
  <c r="G331" i="1"/>
  <c r="F331" i="1"/>
  <c r="E331" i="1"/>
  <c r="AF330" i="1"/>
  <c r="AE330" i="1"/>
  <c r="AD330" i="1"/>
  <c r="W330" i="1"/>
  <c r="V330" i="1"/>
  <c r="U330" i="1"/>
  <c r="T330" i="1"/>
  <c r="M330" i="1"/>
  <c r="N330" i="1" s="1"/>
  <c r="J330" i="1"/>
  <c r="H330" i="1"/>
  <c r="G330" i="1"/>
  <c r="F330" i="1"/>
  <c r="E330" i="1"/>
  <c r="AF329" i="1"/>
  <c r="AE329" i="1"/>
  <c r="AD329" i="1"/>
  <c r="W329" i="1"/>
  <c r="V329" i="1"/>
  <c r="U329" i="1"/>
  <c r="T329" i="1"/>
  <c r="M329" i="1"/>
  <c r="N329" i="1" s="1"/>
  <c r="J329" i="1"/>
  <c r="H329" i="1"/>
  <c r="G329" i="1"/>
  <c r="F329" i="1"/>
  <c r="E329" i="1"/>
  <c r="AF328" i="1"/>
  <c r="AE328" i="1"/>
  <c r="AD328" i="1"/>
  <c r="W328" i="1"/>
  <c r="V328" i="1"/>
  <c r="U328" i="1"/>
  <c r="T328" i="1"/>
  <c r="M328" i="1"/>
  <c r="N328" i="1" s="1"/>
  <c r="J328" i="1"/>
  <c r="H328" i="1"/>
  <c r="G328" i="1"/>
  <c r="F328" i="1"/>
  <c r="E328" i="1"/>
  <c r="AF327" i="1"/>
  <c r="AE327" i="1"/>
  <c r="AD327" i="1"/>
  <c r="W327" i="1"/>
  <c r="V327" i="1"/>
  <c r="U327" i="1"/>
  <c r="T327" i="1"/>
  <c r="M327" i="1"/>
  <c r="N327" i="1" s="1"/>
  <c r="J327" i="1"/>
  <c r="H327" i="1"/>
  <c r="G327" i="1"/>
  <c r="F327" i="1"/>
  <c r="E327" i="1"/>
  <c r="AF326" i="1"/>
  <c r="AE326" i="1"/>
  <c r="AD326" i="1"/>
  <c r="W326" i="1"/>
  <c r="V326" i="1"/>
  <c r="U326" i="1"/>
  <c r="T326" i="1"/>
  <c r="M326" i="1"/>
  <c r="N326" i="1" s="1"/>
  <c r="J326" i="1"/>
  <c r="H326" i="1"/>
  <c r="G326" i="1"/>
  <c r="F326" i="1"/>
  <c r="E326" i="1"/>
  <c r="AF325" i="1"/>
  <c r="AE325" i="1"/>
  <c r="AD325" i="1"/>
  <c r="W325" i="1"/>
  <c r="V325" i="1"/>
  <c r="U325" i="1"/>
  <c r="T325" i="1"/>
  <c r="M325" i="1"/>
  <c r="N325" i="1" s="1"/>
  <c r="J325" i="1"/>
  <c r="H325" i="1"/>
  <c r="G325" i="1"/>
  <c r="F325" i="1"/>
  <c r="E325" i="1"/>
  <c r="AF324" i="1"/>
  <c r="AE324" i="1"/>
  <c r="AD324" i="1"/>
  <c r="W324" i="1"/>
  <c r="V324" i="1"/>
  <c r="U324" i="1"/>
  <c r="T324" i="1"/>
  <c r="M324" i="1"/>
  <c r="N324" i="1" s="1"/>
  <c r="J324" i="1"/>
  <c r="H324" i="1"/>
  <c r="G324" i="1"/>
  <c r="F324" i="1"/>
  <c r="E324" i="1"/>
  <c r="AF323" i="1"/>
  <c r="AE323" i="1"/>
  <c r="AD323" i="1"/>
  <c r="W323" i="1"/>
  <c r="V323" i="1"/>
  <c r="U323" i="1"/>
  <c r="T323" i="1"/>
  <c r="M323" i="1"/>
  <c r="N323" i="1" s="1"/>
  <c r="J323" i="1"/>
  <c r="H323" i="1"/>
  <c r="G323" i="1"/>
  <c r="F323" i="1"/>
  <c r="E323" i="1"/>
  <c r="AF322" i="1"/>
  <c r="AE322" i="1"/>
  <c r="AD322" i="1"/>
  <c r="W322" i="1"/>
  <c r="V322" i="1"/>
  <c r="U322" i="1"/>
  <c r="T322" i="1"/>
  <c r="M322" i="1"/>
  <c r="N322" i="1" s="1"/>
  <c r="J322" i="1"/>
  <c r="H322" i="1"/>
  <c r="G322" i="1"/>
  <c r="F322" i="1"/>
  <c r="E322" i="1"/>
  <c r="AF321" i="1"/>
  <c r="AE321" i="1"/>
  <c r="AD321" i="1"/>
  <c r="W321" i="1"/>
  <c r="V321" i="1"/>
  <c r="U321" i="1"/>
  <c r="T321" i="1"/>
  <c r="M321" i="1"/>
  <c r="N321" i="1" s="1"/>
  <c r="J321" i="1"/>
  <c r="H321" i="1"/>
  <c r="G321" i="1"/>
  <c r="F321" i="1"/>
  <c r="E321" i="1"/>
  <c r="AF320" i="1"/>
  <c r="AE320" i="1"/>
  <c r="AD320" i="1"/>
  <c r="W320" i="1"/>
  <c r="V320" i="1"/>
  <c r="U320" i="1"/>
  <c r="T320" i="1"/>
  <c r="M320" i="1"/>
  <c r="N320" i="1" s="1"/>
  <c r="J320" i="1"/>
  <c r="H320" i="1"/>
  <c r="G320" i="1"/>
  <c r="F320" i="1"/>
  <c r="E320" i="1"/>
  <c r="AF319" i="1"/>
  <c r="AE319" i="1"/>
  <c r="AD319" i="1"/>
  <c r="W319" i="1"/>
  <c r="V319" i="1"/>
  <c r="U319" i="1"/>
  <c r="T319" i="1"/>
  <c r="M319" i="1"/>
  <c r="N319" i="1" s="1"/>
  <c r="J319" i="1"/>
  <c r="H319" i="1"/>
  <c r="G319" i="1"/>
  <c r="F319" i="1"/>
  <c r="E319" i="1"/>
  <c r="AF318" i="1"/>
  <c r="AE318" i="1"/>
  <c r="AD318" i="1"/>
  <c r="W318" i="1"/>
  <c r="V318" i="1"/>
  <c r="U318" i="1"/>
  <c r="T318" i="1"/>
  <c r="M318" i="1"/>
  <c r="N318" i="1" s="1"/>
  <c r="J318" i="1"/>
  <c r="H318" i="1"/>
  <c r="G318" i="1"/>
  <c r="F318" i="1"/>
  <c r="E318" i="1"/>
  <c r="AF317" i="1"/>
  <c r="AE317" i="1"/>
  <c r="AD317" i="1"/>
  <c r="W317" i="1"/>
  <c r="V317" i="1"/>
  <c r="U317" i="1"/>
  <c r="T317" i="1"/>
  <c r="M317" i="1"/>
  <c r="N317" i="1" s="1"/>
  <c r="J317" i="1"/>
  <c r="H317" i="1"/>
  <c r="G317" i="1"/>
  <c r="F317" i="1"/>
  <c r="E317" i="1"/>
  <c r="AF316" i="1"/>
  <c r="AE316" i="1"/>
  <c r="AD316" i="1"/>
  <c r="W316" i="1"/>
  <c r="V316" i="1"/>
  <c r="U316" i="1"/>
  <c r="T316" i="1"/>
  <c r="M316" i="1"/>
  <c r="N316" i="1" s="1"/>
  <c r="J316" i="1"/>
  <c r="H316" i="1"/>
  <c r="G316" i="1"/>
  <c r="F316" i="1"/>
  <c r="E316" i="1"/>
  <c r="AF315" i="1"/>
  <c r="AE315" i="1"/>
  <c r="AD315" i="1"/>
  <c r="W315" i="1"/>
  <c r="V315" i="1"/>
  <c r="U315" i="1"/>
  <c r="T315" i="1"/>
  <c r="N315" i="1"/>
  <c r="M315" i="1"/>
  <c r="J315" i="1"/>
  <c r="H315" i="1"/>
  <c r="G315" i="1"/>
  <c r="F315" i="1"/>
  <c r="E315" i="1"/>
  <c r="AF314" i="1"/>
  <c r="AE314" i="1"/>
  <c r="AD314" i="1"/>
  <c r="W314" i="1"/>
  <c r="V314" i="1"/>
  <c r="U314" i="1"/>
  <c r="T314" i="1"/>
  <c r="M314" i="1"/>
  <c r="N314" i="1" s="1"/>
  <c r="J314" i="1"/>
  <c r="H314" i="1"/>
  <c r="G314" i="1"/>
  <c r="F314" i="1"/>
  <c r="E314" i="1"/>
  <c r="AF313" i="1"/>
  <c r="AE313" i="1"/>
  <c r="AD313" i="1"/>
  <c r="W313" i="1"/>
  <c r="V313" i="1"/>
  <c r="U313" i="1"/>
  <c r="T313" i="1"/>
  <c r="M313" i="1"/>
  <c r="N313" i="1" s="1"/>
  <c r="J313" i="1"/>
  <c r="H313" i="1"/>
  <c r="G313" i="1"/>
  <c r="F313" i="1"/>
  <c r="E313" i="1"/>
  <c r="AF312" i="1"/>
  <c r="AE312" i="1"/>
  <c r="AD312" i="1"/>
  <c r="W312" i="1"/>
  <c r="V312" i="1"/>
  <c r="U312" i="1"/>
  <c r="T312" i="1"/>
  <c r="M312" i="1"/>
  <c r="N312" i="1" s="1"/>
  <c r="J312" i="1"/>
  <c r="H312" i="1"/>
  <c r="G312" i="1"/>
  <c r="F312" i="1"/>
  <c r="E312" i="1"/>
  <c r="AF311" i="1"/>
  <c r="AE311" i="1"/>
  <c r="AD311" i="1"/>
  <c r="W311" i="1"/>
  <c r="V311" i="1"/>
  <c r="U311" i="1"/>
  <c r="T311" i="1"/>
  <c r="M311" i="1"/>
  <c r="N311" i="1" s="1"/>
  <c r="J311" i="1"/>
  <c r="H311" i="1"/>
  <c r="G311" i="1"/>
  <c r="F311" i="1"/>
  <c r="E311" i="1"/>
  <c r="AF310" i="1"/>
  <c r="AE310" i="1"/>
  <c r="AD310" i="1"/>
  <c r="W310" i="1"/>
  <c r="V310" i="1"/>
  <c r="U310" i="1"/>
  <c r="T310" i="1"/>
  <c r="M310" i="1"/>
  <c r="N310" i="1" s="1"/>
  <c r="J310" i="1"/>
  <c r="H310" i="1"/>
  <c r="G310" i="1"/>
  <c r="F310" i="1"/>
  <c r="E310" i="1"/>
  <c r="AF309" i="1"/>
  <c r="AE309" i="1"/>
  <c r="AD309" i="1"/>
  <c r="W309" i="1"/>
  <c r="V309" i="1"/>
  <c r="U309" i="1"/>
  <c r="T309" i="1"/>
  <c r="M309" i="1"/>
  <c r="N309" i="1" s="1"/>
  <c r="J309" i="1"/>
  <c r="H309" i="1"/>
  <c r="G309" i="1"/>
  <c r="F309" i="1"/>
  <c r="E309" i="1"/>
  <c r="AF308" i="1"/>
  <c r="AE308" i="1"/>
  <c r="AD308" i="1"/>
  <c r="W308" i="1"/>
  <c r="V308" i="1"/>
  <c r="U308" i="1"/>
  <c r="T308" i="1"/>
  <c r="M308" i="1"/>
  <c r="N308" i="1" s="1"/>
  <c r="J308" i="1"/>
  <c r="H308" i="1"/>
  <c r="G308" i="1"/>
  <c r="F308" i="1"/>
  <c r="E308" i="1"/>
  <c r="AF307" i="1"/>
  <c r="AE307" i="1"/>
  <c r="AD307" i="1"/>
  <c r="W307" i="1"/>
  <c r="V307" i="1"/>
  <c r="U307" i="1"/>
  <c r="T307" i="1"/>
  <c r="M307" i="1"/>
  <c r="N307" i="1" s="1"/>
  <c r="J307" i="1"/>
  <c r="H307" i="1"/>
  <c r="G307" i="1"/>
  <c r="F307" i="1"/>
  <c r="E307" i="1"/>
  <c r="AF306" i="1"/>
  <c r="AE306" i="1"/>
  <c r="AD306" i="1"/>
  <c r="W306" i="1"/>
  <c r="V306" i="1"/>
  <c r="U306" i="1"/>
  <c r="T306" i="1"/>
  <c r="M306" i="1"/>
  <c r="N306" i="1" s="1"/>
  <c r="J306" i="1"/>
  <c r="H306" i="1"/>
  <c r="G306" i="1"/>
  <c r="F306" i="1"/>
  <c r="E306" i="1"/>
  <c r="AF305" i="1"/>
  <c r="AE305" i="1"/>
  <c r="AD305" i="1"/>
  <c r="W305" i="1"/>
  <c r="V305" i="1"/>
  <c r="U305" i="1"/>
  <c r="T305" i="1"/>
  <c r="M305" i="1"/>
  <c r="N305" i="1" s="1"/>
  <c r="J305" i="1"/>
  <c r="H305" i="1"/>
  <c r="G305" i="1"/>
  <c r="F305" i="1"/>
  <c r="E305" i="1"/>
  <c r="AF304" i="1"/>
  <c r="AE304" i="1"/>
  <c r="AD304" i="1"/>
  <c r="W304" i="1"/>
  <c r="V304" i="1"/>
  <c r="U304" i="1"/>
  <c r="T304" i="1"/>
  <c r="M304" i="1"/>
  <c r="N304" i="1" s="1"/>
  <c r="J304" i="1"/>
  <c r="H304" i="1"/>
  <c r="G304" i="1"/>
  <c r="F304" i="1"/>
  <c r="E304" i="1"/>
  <c r="AF303" i="1"/>
  <c r="AE303" i="1"/>
  <c r="AD303" i="1"/>
  <c r="W303" i="1"/>
  <c r="V303" i="1"/>
  <c r="U303" i="1"/>
  <c r="T303" i="1"/>
  <c r="M303" i="1"/>
  <c r="N303" i="1" s="1"/>
  <c r="J303" i="1"/>
  <c r="H303" i="1"/>
  <c r="G303" i="1"/>
  <c r="F303" i="1"/>
  <c r="E303" i="1"/>
  <c r="AF302" i="1"/>
  <c r="AE302" i="1"/>
  <c r="AD302" i="1"/>
  <c r="W302" i="1"/>
  <c r="V302" i="1"/>
  <c r="U302" i="1"/>
  <c r="T302" i="1"/>
  <c r="M302" i="1"/>
  <c r="N302" i="1" s="1"/>
  <c r="J302" i="1"/>
  <c r="H302" i="1"/>
  <c r="G302" i="1"/>
  <c r="F302" i="1"/>
  <c r="E302" i="1"/>
  <c r="AF301" i="1"/>
  <c r="AE301" i="1"/>
  <c r="AD301" i="1"/>
  <c r="W301" i="1"/>
  <c r="V301" i="1"/>
  <c r="U301" i="1"/>
  <c r="T301" i="1"/>
  <c r="M301" i="1"/>
  <c r="N301" i="1" s="1"/>
  <c r="J301" i="1"/>
  <c r="H301" i="1"/>
  <c r="G301" i="1"/>
  <c r="F301" i="1"/>
  <c r="E301" i="1"/>
  <c r="AF300" i="1"/>
  <c r="AE300" i="1"/>
  <c r="AD300" i="1"/>
  <c r="W300" i="1"/>
  <c r="V300" i="1"/>
  <c r="U300" i="1"/>
  <c r="T300" i="1"/>
  <c r="M300" i="1"/>
  <c r="N300" i="1" s="1"/>
  <c r="J300" i="1"/>
  <c r="H300" i="1"/>
  <c r="G300" i="1"/>
  <c r="F300" i="1"/>
  <c r="E300" i="1"/>
  <c r="AF299" i="1"/>
  <c r="AE299" i="1"/>
  <c r="AD299" i="1"/>
  <c r="W299" i="1"/>
  <c r="V299" i="1"/>
  <c r="U299" i="1"/>
  <c r="T299" i="1"/>
  <c r="M299" i="1"/>
  <c r="N299" i="1" s="1"/>
  <c r="J299" i="1"/>
  <c r="H299" i="1"/>
  <c r="G299" i="1"/>
  <c r="F299" i="1"/>
  <c r="E299" i="1"/>
  <c r="AF298" i="1"/>
  <c r="AE298" i="1"/>
  <c r="AD298" i="1"/>
  <c r="W298" i="1"/>
  <c r="V298" i="1"/>
  <c r="U298" i="1"/>
  <c r="T298" i="1"/>
  <c r="M298" i="1"/>
  <c r="N298" i="1" s="1"/>
  <c r="J298" i="1"/>
  <c r="H298" i="1"/>
  <c r="G298" i="1"/>
  <c r="F298" i="1"/>
  <c r="E298" i="1"/>
  <c r="AF297" i="1"/>
  <c r="AE297" i="1"/>
  <c r="AD297" i="1"/>
  <c r="W297" i="1"/>
  <c r="V297" i="1"/>
  <c r="U297" i="1"/>
  <c r="T297" i="1"/>
  <c r="M297" i="1"/>
  <c r="N297" i="1" s="1"/>
  <c r="J297" i="1"/>
  <c r="H297" i="1"/>
  <c r="G297" i="1"/>
  <c r="F297" i="1"/>
  <c r="E297" i="1"/>
  <c r="AF296" i="1"/>
  <c r="AE296" i="1"/>
  <c r="AD296" i="1"/>
  <c r="W296" i="1"/>
  <c r="V296" i="1"/>
  <c r="U296" i="1"/>
  <c r="T296" i="1"/>
  <c r="M296" i="1"/>
  <c r="N296" i="1" s="1"/>
  <c r="J296" i="1"/>
  <c r="H296" i="1"/>
  <c r="G296" i="1"/>
  <c r="F296" i="1"/>
  <c r="E296" i="1"/>
  <c r="AF295" i="1"/>
  <c r="AE295" i="1"/>
  <c r="AD295" i="1"/>
  <c r="W295" i="1"/>
  <c r="V295" i="1"/>
  <c r="U295" i="1"/>
  <c r="T295" i="1"/>
  <c r="M295" i="1"/>
  <c r="N295" i="1" s="1"/>
  <c r="J295" i="1"/>
  <c r="H295" i="1"/>
  <c r="G295" i="1"/>
  <c r="F295" i="1"/>
  <c r="E295" i="1"/>
  <c r="AF294" i="1"/>
  <c r="AE294" i="1"/>
  <c r="AD294" i="1"/>
  <c r="W294" i="1"/>
  <c r="V294" i="1"/>
  <c r="U294" i="1"/>
  <c r="T294" i="1"/>
  <c r="M294" i="1"/>
  <c r="N294" i="1" s="1"/>
  <c r="J294" i="1"/>
  <c r="H294" i="1"/>
  <c r="G294" i="1"/>
  <c r="F294" i="1"/>
  <c r="E294" i="1"/>
  <c r="AF293" i="1"/>
  <c r="AE293" i="1"/>
  <c r="AD293" i="1"/>
  <c r="W293" i="1"/>
  <c r="V293" i="1"/>
  <c r="U293" i="1"/>
  <c r="T293" i="1"/>
  <c r="M293" i="1"/>
  <c r="N293" i="1" s="1"/>
  <c r="J293" i="1"/>
  <c r="H293" i="1"/>
  <c r="G293" i="1"/>
  <c r="F293" i="1"/>
  <c r="E293" i="1"/>
  <c r="AF292" i="1"/>
  <c r="AE292" i="1"/>
  <c r="AD292" i="1"/>
  <c r="W292" i="1"/>
  <c r="V292" i="1"/>
  <c r="U292" i="1"/>
  <c r="T292" i="1"/>
  <c r="M292" i="1"/>
  <c r="N292" i="1" s="1"/>
  <c r="J292" i="1"/>
  <c r="H292" i="1"/>
  <c r="G292" i="1"/>
  <c r="F292" i="1"/>
  <c r="E292" i="1"/>
  <c r="AF291" i="1"/>
  <c r="AE291" i="1"/>
  <c r="AD291" i="1"/>
  <c r="W291" i="1"/>
  <c r="V291" i="1"/>
  <c r="U291" i="1"/>
  <c r="T291" i="1"/>
  <c r="M291" i="1"/>
  <c r="N291" i="1" s="1"/>
  <c r="J291" i="1"/>
  <c r="H291" i="1"/>
  <c r="G291" i="1"/>
  <c r="F291" i="1"/>
  <c r="E291" i="1"/>
  <c r="AF290" i="1"/>
  <c r="AE290" i="1"/>
  <c r="AD290" i="1"/>
  <c r="W290" i="1"/>
  <c r="V290" i="1"/>
  <c r="U290" i="1"/>
  <c r="T290" i="1"/>
  <c r="M290" i="1"/>
  <c r="N290" i="1" s="1"/>
  <c r="J290" i="1"/>
  <c r="H290" i="1"/>
  <c r="G290" i="1"/>
  <c r="F290" i="1"/>
  <c r="E290" i="1"/>
  <c r="AF289" i="1"/>
  <c r="AE289" i="1"/>
  <c r="AD289" i="1"/>
  <c r="W289" i="1"/>
  <c r="V289" i="1"/>
  <c r="U289" i="1"/>
  <c r="T289" i="1"/>
  <c r="M289" i="1"/>
  <c r="N289" i="1" s="1"/>
  <c r="J289" i="1"/>
  <c r="H289" i="1"/>
  <c r="G289" i="1"/>
  <c r="F289" i="1"/>
  <c r="E289" i="1"/>
  <c r="AF288" i="1"/>
  <c r="AE288" i="1"/>
  <c r="AD288" i="1"/>
  <c r="W288" i="1"/>
  <c r="V288" i="1"/>
  <c r="U288" i="1"/>
  <c r="T288" i="1"/>
  <c r="M288" i="1"/>
  <c r="N288" i="1" s="1"/>
  <c r="J288" i="1"/>
  <c r="H288" i="1"/>
  <c r="G288" i="1"/>
  <c r="F288" i="1"/>
  <c r="E288" i="1"/>
  <c r="AF287" i="1"/>
  <c r="AE287" i="1"/>
  <c r="AD287" i="1"/>
  <c r="W287" i="1"/>
  <c r="V287" i="1"/>
  <c r="U287" i="1"/>
  <c r="T287" i="1"/>
  <c r="M287" i="1"/>
  <c r="N287" i="1" s="1"/>
  <c r="J287" i="1"/>
  <c r="H287" i="1"/>
  <c r="G287" i="1"/>
  <c r="F287" i="1"/>
  <c r="E287" i="1"/>
  <c r="AF286" i="1"/>
  <c r="AE286" i="1"/>
  <c r="AD286" i="1"/>
  <c r="W286" i="1"/>
  <c r="V286" i="1"/>
  <c r="U286" i="1"/>
  <c r="T286" i="1"/>
  <c r="M286" i="1"/>
  <c r="N286" i="1" s="1"/>
  <c r="J286" i="1"/>
  <c r="H286" i="1"/>
  <c r="G286" i="1"/>
  <c r="F286" i="1"/>
  <c r="E286" i="1"/>
  <c r="AF285" i="1"/>
  <c r="AE285" i="1"/>
  <c r="AD285" i="1"/>
  <c r="W285" i="1"/>
  <c r="V285" i="1"/>
  <c r="U285" i="1"/>
  <c r="T285" i="1"/>
  <c r="M285" i="1"/>
  <c r="N285" i="1" s="1"/>
  <c r="J285" i="1"/>
  <c r="H285" i="1"/>
  <c r="G285" i="1"/>
  <c r="F285" i="1"/>
  <c r="E285" i="1"/>
  <c r="AF284" i="1"/>
  <c r="AE284" i="1"/>
  <c r="AD284" i="1"/>
  <c r="W284" i="1"/>
  <c r="V284" i="1"/>
  <c r="U284" i="1"/>
  <c r="T284" i="1"/>
  <c r="M284" i="1"/>
  <c r="N284" i="1" s="1"/>
  <c r="J284" i="1"/>
  <c r="H284" i="1"/>
  <c r="G284" i="1"/>
  <c r="F284" i="1"/>
  <c r="E284" i="1"/>
  <c r="AF283" i="1"/>
  <c r="AE283" i="1"/>
  <c r="AD283" i="1"/>
  <c r="W283" i="1"/>
  <c r="V283" i="1"/>
  <c r="U283" i="1"/>
  <c r="T283" i="1"/>
  <c r="M283" i="1"/>
  <c r="N283" i="1" s="1"/>
  <c r="J283" i="1"/>
  <c r="H283" i="1"/>
  <c r="G283" i="1"/>
  <c r="F283" i="1"/>
  <c r="E283" i="1"/>
  <c r="AF282" i="1"/>
  <c r="AE282" i="1"/>
  <c r="AD282" i="1"/>
  <c r="W282" i="1"/>
  <c r="V282" i="1"/>
  <c r="U282" i="1"/>
  <c r="T282" i="1"/>
  <c r="M282" i="1"/>
  <c r="N282" i="1" s="1"/>
  <c r="J282" i="1"/>
  <c r="H282" i="1"/>
  <c r="G282" i="1"/>
  <c r="F282" i="1"/>
  <c r="E282" i="1"/>
  <c r="AF281" i="1"/>
  <c r="AE281" i="1"/>
  <c r="AD281" i="1"/>
  <c r="W281" i="1"/>
  <c r="V281" i="1"/>
  <c r="U281" i="1"/>
  <c r="T281" i="1"/>
  <c r="M281" i="1"/>
  <c r="N281" i="1" s="1"/>
  <c r="J281" i="1"/>
  <c r="H281" i="1"/>
  <c r="G281" i="1"/>
  <c r="F281" i="1"/>
  <c r="E281" i="1"/>
  <c r="AF280" i="1"/>
  <c r="AE280" i="1"/>
  <c r="AD280" i="1"/>
  <c r="W280" i="1"/>
  <c r="V280" i="1"/>
  <c r="U280" i="1"/>
  <c r="T280" i="1"/>
  <c r="M280" i="1"/>
  <c r="N280" i="1" s="1"/>
  <c r="J280" i="1"/>
  <c r="H280" i="1"/>
  <c r="G280" i="1"/>
  <c r="F280" i="1"/>
  <c r="E280" i="1"/>
  <c r="AF279" i="1"/>
  <c r="AE279" i="1"/>
  <c r="AD279" i="1"/>
  <c r="W279" i="1"/>
  <c r="V279" i="1"/>
  <c r="U279" i="1"/>
  <c r="T279" i="1"/>
  <c r="N279" i="1"/>
  <c r="M279" i="1"/>
  <c r="J279" i="1"/>
  <c r="H279" i="1"/>
  <c r="G279" i="1"/>
  <c r="F279" i="1"/>
  <c r="E279" i="1"/>
  <c r="AF278" i="1"/>
  <c r="AE278" i="1"/>
  <c r="AD278" i="1"/>
  <c r="W278" i="1"/>
  <c r="V278" i="1"/>
  <c r="U278" i="1"/>
  <c r="T278" i="1"/>
  <c r="M278" i="1"/>
  <c r="N278" i="1" s="1"/>
  <c r="J278" i="1"/>
  <c r="H278" i="1"/>
  <c r="G278" i="1"/>
  <c r="F278" i="1"/>
  <c r="E278" i="1"/>
  <c r="AF277" i="1"/>
  <c r="AE277" i="1"/>
  <c r="AD277" i="1"/>
  <c r="W277" i="1"/>
  <c r="V277" i="1"/>
  <c r="U277" i="1"/>
  <c r="T277" i="1"/>
  <c r="M277" i="1"/>
  <c r="N277" i="1" s="1"/>
  <c r="J277" i="1"/>
  <c r="H277" i="1"/>
  <c r="G277" i="1"/>
  <c r="F277" i="1"/>
  <c r="E277" i="1"/>
  <c r="AF276" i="1"/>
  <c r="AE276" i="1"/>
  <c r="AD276" i="1"/>
  <c r="W276" i="1"/>
  <c r="V276" i="1"/>
  <c r="U276" i="1"/>
  <c r="T276" i="1"/>
  <c r="M276" i="1"/>
  <c r="N276" i="1" s="1"/>
  <c r="J276" i="1"/>
  <c r="H276" i="1"/>
  <c r="G276" i="1"/>
  <c r="F276" i="1"/>
  <c r="E276" i="1"/>
  <c r="AF275" i="1"/>
  <c r="AE275" i="1"/>
  <c r="AD275" i="1"/>
  <c r="W275" i="1"/>
  <c r="V275" i="1"/>
  <c r="U275" i="1"/>
  <c r="T275" i="1"/>
  <c r="M275" i="1"/>
  <c r="N275" i="1" s="1"/>
  <c r="J275" i="1"/>
  <c r="H275" i="1"/>
  <c r="G275" i="1"/>
  <c r="F275" i="1"/>
  <c r="E275" i="1"/>
  <c r="AF274" i="1"/>
  <c r="AE274" i="1"/>
  <c r="AD274" i="1"/>
  <c r="W274" i="1"/>
  <c r="V274" i="1"/>
  <c r="U274" i="1"/>
  <c r="T274" i="1"/>
  <c r="M274" i="1"/>
  <c r="N274" i="1" s="1"/>
  <c r="J274" i="1"/>
  <c r="H274" i="1"/>
  <c r="G274" i="1"/>
  <c r="F274" i="1"/>
  <c r="E274" i="1"/>
  <c r="AF273" i="1"/>
  <c r="AE273" i="1"/>
  <c r="AD273" i="1"/>
  <c r="W273" i="1"/>
  <c r="V273" i="1"/>
  <c r="U273" i="1"/>
  <c r="T273" i="1"/>
  <c r="M273" i="1"/>
  <c r="N273" i="1" s="1"/>
  <c r="J273" i="1"/>
  <c r="H273" i="1"/>
  <c r="G273" i="1"/>
  <c r="F273" i="1"/>
  <c r="E273" i="1"/>
  <c r="AF272" i="1"/>
  <c r="AE272" i="1"/>
  <c r="AD272" i="1"/>
  <c r="W272" i="1"/>
  <c r="V272" i="1"/>
  <c r="U272" i="1"/>
  <c r="T272" i="1"/>
  <c r="M272" i="1"/>
  <c r="N272" i="1" s="1"/>
  <c r="J272" i="1"/>
  <c r="H272" i="1"/>
  <c r="G272" i="1"/>
  <c r="F272" i="1"/>
  <c r="E272" i="1"/>
  <c r="AF271" i="1"/>
  <c r="AE271" i="1"/>
  <c r="AD271" i="1"/>
  <c r="W271" i="1"/>
  <c r="V271" i="1"/>
  <c r="U271" i="1"/>
  <c r="T271" i="1"/>
  <c r="M271" i="1"/>
  <c r="N271" i="1" s="1"/>
  <c r="J271" i="1"/>
  <c r="H271" i="1"/>
  <c r="G271" i="1"/>
  <c r="F271" i="1"/>
  <c r="E271" i="1"/>
  <c r="AF270" i="1"/>
  <c r="AE270" i="1"/>
  <c r="AD270" i="1"/>
  <c r="W270" i="1"/>
  <c r="V270" i="1"/>
  <c r="U270" i="1"/>
  <c r="T270" i="1"/>
  <c r="M270" i="1"/>
  <c r="N270" i="1" s="1"/>
  <c r="J270" i="1"/>
  <c r="H270" i="1"/>
  <c r="G270" i="1"/>
  <c r="F270" i="1"/>
  <c r="E270" i="1"/>
  <c r="AF269" i="1"/>
  <c r="AE269" i="1"/>
  <c r="AD269" i="1"/>
  <c r="W269" i="1"/>
  <c r="V269" i="1"/>
  <c r="U269" i="1"/>
  <c r="T269" i="1"/>
  <c r="M269" i="1"/>
  <c r="N269" i="1" s="1"/>
  <c r="J269" i="1"/>
  <c r="H269" i="1"/>
  <c r="G269" i="1"/>
  <c r="F269" i="1"/>
  <c r="E269" i="1"/>
  <c r="AF268" i="1"/>
  <c r="AE268" i="1"/>
  <c r="AD268" i="1"/>
  <c r="W268" i="1"/>
  <c r="V268" i="1"/>
  <c r="U268" i="1"/>
  <c r="T268" i="1"/>
  <c r="M268" i="1"/>
  <c r="N268" i="1" s="1"/>
  <c r="J268" i="1"/>
  <c r="H268" i="1"/>
  <c r="G268" i="1"/>
  <c r="F268" i="1"/>
  <c r="E268" i="1"/>
  <c r="AF267" i="1"/>
  <c r="AE267" i="1"/>
  <c r="AD267" i="1"/>
  <c r="W267" i="1"/>
  <c r="V267" i="1"/>
  <c r="U267" i="1"/>
  <c r="T267" i="1"/>
  <c r="M267" i="1"/>
  <c r="N267" i="1" s="1"/>
  <c r="J267" i="1"/>
  <c r="H267" i="1"/>
  <c r="G267" i="1"/>
  <c r="F267" i="1"/>
  <c r="E267" i="1"/>
  <c r="AF266" i="1"/>
  <c r="AE266" i="1"/>
  <c r="AD266" i="1"/>
  <c r="W266" i="1"/>
  <c r="V266" i="1"/>
  <c r="U266" i="1"/>
  <c r="T266" i="1"/>
  <c r="M266" i="1"/>
  <c r="N266" i="1" s="1"/>
  <c r="J266" i="1"/>
  <c r="H266" i="1"/>
  <c r="G266" i="1"/>
  <c r="F266" i="1"/>
  <c r="E266" i="1"/>
  <c r="AF265" i="1"/>
  <c r="AE265" i="1"/>
  <c r="AD265" i="1"/>
  <c r="W265" i="1"/>
  <c r="V265" i="1"/>
  <c r="U265" i="1"/>
  <c r="T265" i="1"/>
  <c r="M265" i="1"/>
  <c r="N265" i="1" s="1"/>
  <c r="J265" i="1"/>
  <c r="H265" i="1"/>
  <c r="G265" i="1"/>
  <c r="F265" i="1"/>
  <c r="E265" i="1"/>
  <c r="AF264" i="1"/>
  <c r="AE264" i="1"/>
  <c r="AD264" i="1"/>
  <c r="W264" i="1"/>
  <c r="V264" i="1"/>
  <c r="U264" i="1"/>
  <c r="T264" i="1"/>
  <c r="M264" i="1"/>
  <c r="N264" i="1" s="1"/>
  <c r="J264" i="1"/>
  <c r="H264" i="1"/>
  <c r="G264" i="1"/>
  <c r="F264" i="1"/>
  <c r="E264" i="1"/>
  <c r="AF263" i="1"/>
  <c r="AE263" i="1"/>
  <c r="AD263" i="1"/>
  <c r="W263" i="1"/>
  <c r="V263" i="1"/>
  <c r="U263" i="1"/>
  <c r="T263" i="1"/>
  <c r="M263" i="1"/>
  <c r="N263" i="1" s="1"/>
  <c r="J263" i="1"/>
  <c r="H263" i="1"/>
  <c r="G263" i="1"/>
  <c r="F263" i="1"/>
  <c r="E263" i="1"/>
  <c r="AF262" i="1"/>
  <c r="AE262" i="1"/>
  <c r="AD262" i="1"/>
  <c r="W262" i="1"/>
  <c r="V262" i="1"/>
  <c r="U262" i="1"/>
  <c r="T262" i="1"/>
  <c r="M262" i="1"/>
  <c r="N262" i="1" s="1"/>
  <c r="J262" i="1"/>
  <c r="H262" i="1"/>
  <c r="G262" i="1"/>
  <c r="F262" i="1"/>
  <c r="E262" i="1"/>
  <c r="AF261" i="1"/>
  <c r="AE261" i="1"/>
  <c r="AD261" i="1"/>
  <c r="W261" i="1"/>
  <c r="V261" i="1"/>
  <c r="U261" i="1"/>
  <c r="T261" i="1"/>
  <c r="M261" i="1"/>
  <c r="N261" i="1" s="1"/>
  <c r="J261" i="1"/>
  <c r="H261" i="1"/>
  <c r="G261" i="1"/>
  <c r="F261" i="1"/>
  <c r="E261" i="1"/>
  <c r="AF260" i="1"/>
  <c r="AE260" i="1"/>
  <c r="AD260" i="1"/>
  <c r="W260" i="1"/>
  <c r="V260" i="1"/>
  <c r="U260" i="1"/>
  <c r="T260" i="1"/>
  <c r="M260" i="1"/>
  <c r="N260" i="1" s="1"/>
  <c r="J260" i="1"/>
  <c r="H260" i="1"/>
  <c r="G260" i="1"/>
  <c r="F260" i="1"/>
  <c r="E260" i="1"/>
  <c r="AF259" i="1"/>
  <c r="AE259" i="1"/>
  <c r="AD259" i="1"/>
  <c r="W259" i="1"/>
  <c r="V259" i="1"/>
  <c r="U259" i="1"/>
  <c r="T259" i="1"/>
  <c r="M259" i="1"/>
  <c r="N259" i="1" s="1"/>
  <c r="J259" i="1"/>
  <c r="H259" i="1"/>
  <c r="G259" i="1"/>
  <c r="F259" i="1"/>
  <c r="E259" i="1"/>
  <c r="AF258" i="1"/>
  <c r="AE258" i="1"/>
  <c r="AD258" i="1"/>
  <c r="W258" i="1"/>
  <c r="V258" i="1"/>
  <c r="U258" i="1"/>
  <c r="T258" i="1"/>
  <c r="M258" i="1"/>
  <c r="N258" i="1" s="1"/>
  <c r="J258" i="1"/>
  <c r="H258" i="1"/>
  <c r="G258" i="1"/>
  <c r="F258" i="1"/>
  <c r="E258" i="1"/>
  <c r="AF257" i="1"/>
  <c r="AE257" i="1"/>
  <c r="AD257" i="1"/>
  <c r="W257" i="1"/>
  <c r="V257" i="1"/>
  <c r="U257" i="1"/>
  <c r="T257" i="1"/>
  <c r="M257" i="1"/>
  <c r="N257" i="1" s="1"/>
  <c r="J257" i="1"/>
  <c r="H257" i="1"/>
  <c r="G257" i="1"/>
  <c r="F257" i="1"/>
  <c r="E257" i="1"/>
  <c r="AF256" i="1"/>
  <c r="AE256" i="1"/>
  <c r="AD256" i="1"/>
  <c r="W256" i="1"/>
  <c r="V256" i="1"/>
  <c r="U256" i="1"/>
  <c r="T256" i="1"/>
  <c r="M256" i="1"/>
  <c r="N256" i="1" s="1"/>
  <c r="J256" i="1"/>
  <c r="H256" i="1"/>
  <c r="G256" i="1"/>
  <c r="F256" i="1"/>
  <c r="E256" i="1"/>
  <c r="AF255" i="1"/>
  <c r="AE255" i="1"/>
  <c r="AD255" i="1"/>
  <c r="W255" i="1"/>
  <c r="V255" i="1"/>
  <c r="U255" i="1"/>
  <c r="T255" i="1"/>
  <c r="M255" i="1"/>
  <c r="N255" i="1" s="1"/>
  <c r="J255" i="1"/>
  <c r="H255" i="1"/>
  <c r="G255" i="1"/>
  <c r="F255" i="1"/>
  <c r="E255" i="1"/>
  <c r="AF254" i="1"/>
  <c r="AE254" i="1"/>
  <c r="AD254" i="1"/>
  <c r="W254" i="1"/>
  <c r="V254" i="1"/>
  <c r="U254" i="1"/>
  <c r="T254" i="1"/>
  <c r="M254" i="1"/>
  <c r="N254" i="1" s="1"/>
  <c r="J254" i="1"/>
  <c r="H254" i="1"/>
  <c r="G254" i="1"/>
  <c r="F254" i="1"/>
  <c r="E254" i="1"/>
  <c r="AF253" i="1"/>
  <c r="AE253" i="1"/>
  <c r="AD253" i="1"/>
  <c r="W253" i="1"/>
  <c r="V253" i="1"/>
  <c r="U253" i="1"/>
  <c r="T253" i="1"/>
  <c r="M253" i="1"/>
  <c r="N253" i="1" s="1"/>
  <c r="J253" i="1"/>
  <c r="H253" i="1"/>
  <c r="G253" i="1"/>
  <c r="F253" i="1"/>
  <c r="E253" i="1"/>
  <c r="AF252" i="1"/>
  <c r="AE252" i="1"/>
  <c r="AD252" i="1"/>
  <c r="W252" i="1"/>
  <c r="V252" i="1"/>
  <c r="U252" i="1"/>
  <c r="T252" i="1"/>
  <c r="M252" i="1"/>
  <c r="N252" i="1" s="1"/>
  <c r="J252" i="1"/>
  <c r="H252" i="1"/>
  <c r="G252" i="1"/>
  <c r="F252" i="1"/>
  <c r="E252" i="1"/>
  <c r="AF251" i="1"/>
  <c r="AE251" i="1"/>
  <c r="AD251" i="1"/>
  <c r="W251" i="1"/>
  <c r="V251" i="1"/>
  <c r="U251" i="1"/>
  <c r="T251" i="1"/>
  <c r="M251" i="1"/>
  <c r="N251" i="1" s="1"/>
  <c r="J251" i="1"/>
  <c r="H251" i="1"/>
  <c r="G251" i="1"/>
  <c r="F251" i="1"/>
  <c r="E251" i="1"/>
  <c r="AF250" i="1"/>
  <c r="AE250" i="1"/>
  <c r="AD250" i="1"/>
  <c r="W250" i="1"/>
  <c r="V250" i="1"/>
  <c r="U250" i="1"/>
  <c r="T250" i="1"/>
  <c r="M250" i="1"/>
  <c r="N250" i="1" s="1"/>
  <c r="J250" i="1"/>
  <c r="H250" i="1"/>
  <c r="G250" i="1"/>
  <c r="F250" i="1"/>
  <c r="E250" i="1"/>
  <c r="AF249" i="1"/>
  <c r="AE249" i="1"/>
  <c r="AD249" i="1"/>
  <c r="W249" i="1"/>
  <c r="V249" i="1"/>
  <c r="U249" i="1"/>
  <c r="T249" i="1"/>
  <c r="M249" i="1"/>
  <c r="N249" i="1" s="1"/>
  <c r="J249" i="1"/>
  <c r="H249" i="1"/>
  <c r="G249" i="1"/>
  <c r="F249" i="1"/>
  <c r="E249" i="1"/>
  <c r="AF248" i="1"/>
  <c r="AE248" i="1"/>
  <c r="AD248" i="1"/>
  <c r="W248" i="1"/>
  <c r="V248" i="1"/>
  <c r="U248" i="1"/>
  <c r="T248" i="1"/>
  <c r="M248" i="1"/>
  <c r="N248" i="1" s="1"/>
  <c r="J248" i="1"/>
  <c r="H248" i="1"/>
  <c r="G248" i="1"/>
  <c r="F248" i="1"/>
  <c r="E248" i="1"/>
  <c r="AF247" i="1"/>
  <c r="AE247" i="1"/>
  <c r="AD247" i="1"/>
  <c r="W247" i="1"/>
  <c r="V247" i="1"/>
  <c r="U247" i="1"/>
  <c r="T247" i="1"/>
  <c r="N247" i="1"/>
  <c r="M247" i="1"/>
  <c r="J247" i="1"/>
  <c r="H247" i="1"/>
  <c r="G247" i="1"/>
  <c r="F247" i="1"/>
  <c r="E247" i="1"/>
  <c r="AF246" i="1"/>
  <c r="AE246" i="1"/>
  <c r="AD246" i="1"/>
  <c r="W246" i="1"/>
  <c r="V246" i="1"/>
  <c r="U246" i="1"/>
  <c r="T246" i="1"/>
  <c r="M246" i="1"/>
  <c r="N246" i="1" s="1"/>
  <c r="J246" i="1"/>
  <c r="H246" i="1"/>
  <c r="G246" i="1"/>
  <c r="F246" i="1"/>
  <c r="E246" i="1"/>
  <c r="AF245" i="1"/>
  <c r="AE245" i="1"/>
  <c r="AD245" i="1"/>
  <c r="W245" i="1"/>
  <c r="V245" i="1"/>
  <c r="U245" i="1"/>
  <c r="T245" i="1"/>
  <c r="M245" i="1"/>
  <c r="N245" i="1" s="1"/>
  <c r="J245" i="1"/>
  <c r="H245" i="1"/>
  <c r="G245" i="1"/>
  <c r="F245" i="1"/>
  <c r="E245" i="1"/>
  <c r="AF244" i="1"/>
  <c r="AE244" i="1"/>
  <c r="AD244" i="1"/>
  <c r="W244" i="1"/>
  <c r="V244" i="1"/>
  <c r="U244" i="1"/>
  <c r="T244" i="1"/>
  <c r="M244" i="1"/>
  <c r="N244" i="1" s="1"/>
  <c r="J244" i="1"/>
  <c r="H244" i="1"/>
  <c r="G244" i="1"/>
  <c r="F244" i="1"/>
  <c r="E244" i="1"/>
  <c r="AF243" i="1"/>
  <c r="AE243" i="1"/>
  <c r="AD243" i="1"/>
  <c r="W243" i="1"/>
  <c r="V243" i="1"/>
  <c r="U243" i="1"/>
  <c r="T243" i="1"/>
  <c r="N243" i="1"/>
  <c r="M243" i="1"/>
  <c r="J243" i="1"/>
  <c r="H243" i="1"/>
  <c r="G243" i="1"/>
  <c r="F243" i="1"/>
  <c r="E243" i="1"/>
  <c r="AF242" i="1"/>
  <c r="AE242" i="1"/>
  <c r="AD242" i="1"/>
  <c r="W242" i="1"/>
  <c r="V242" i="1"/>
  <c r="U242" i="1"/>
  <c r="T242" i="1"/>
  <c r="M242" i="1"/>
  <c r="N242" i="1" s="1"/>
  <c r="J242" i="1"/>
  <c r="H242" i="1"/>
  <c r="G242" i="1"/>
  <c r="F242" i="1"/>
  <c r="E242" i="1"/>
  <c r="AF241" i="1"/>
  <c r="AE241" i="1"/>
  <c r="AD241" i="1"/>
  <c r="W241" i="1"/>
  <c r="V241" i="1"/>
  <c r="U241" i="1"/>
  <c r="T241" i="1"/>
  <c r="M241" i="1"/>
  <c r="N241" i="1" s="1"/>
  <c r="J241" i="1"/>
  <c r="H241" i="1"/>
  <c r="G241" i="1"/>
  <c r="F241" i="1"/>
  <c r="E241" i="1"/>
  <c r="AF240" i="1"/>
  <c r="AE240" i="1"/>
  <c r="AD240" i="1"/>
  <c r="W240" i="1"/>
  <c r="V240" i="1"/>
  <c r="U240" i="1"/>
  <c r="T240" i="1"/>
  <c r="M240" i="1"/>
  <c r="N240" i="1" s="1"/>
  <c r="J240" i="1"/>
  <c r="H240" i="1"/>
  <c r="G240" i="1"/>
  <c r="F240" i="1"/>
  <c r="E240" i="1"/>
  <c r="AF239" i="1"/>
  <c r="AE239" i="1"/>
  <c r="AD239" i="1"/>
  <c r="W239" i="1"/>
  <c r="V239" i="1"/>
  <c r="U239" i="1"/>
  <c r="T239" i="1"/>
  <c r="M239" i="1"/>
  <c r="N239" i="1" s="1"/>
  <c r="J239" i="1"/>
  <c r="H239" i="1"/>
  <c r="G239" i="1"/>
  <c r="F239" i="1"/>
  <c r="E239" i="1"/>
  <c r="AF238" i="1"/>
  <c r="AE238" i="1"/>
  <c r="AD238" i="1"/>
  <c r="W238" i="1"/>
  <c r="V238" i="1"/>
  <c r="U238" i="1"/>
  <c r="T238" i="1"/>
  <c r="M238" i="1"/>
  <c r="N238" i="1" s="1"/>
  <c r="J238" i="1"/>
  <c r="H238" i="1"/>
  <c r="G238" i="1"/>
  <c r="F238" i="1"/>
  <c r="E238" i="1"/>
  <c r="AF237" i="1"/>
  <c r="AE237" i="1"/>
  <c r="AD237" i="1"/>
  <c r="W237" i="1"/>
  <c r="V237" i="1"/>
  <c r="U237" i="1"/>
  <c r="T237" i="1"/>
  <c r="M237" i="1"/>
  <c r="N237" i="1" s="1"/>
  <c r="J237" i="1"/>
  <c r="H237" i="1"/>
  <c r="G237" i="1"/>
  <c r="F237" i="1"/>
  <c r="E237" i="1"/>
  <c r="AF236" i="1"/>
  <c r="AE236" i="1"/>
  <c r="AD236" i="1"/>
  <c r="W236" i="1"/>
  <c r="V236" i="1"/>
  <c r="U236" i="1"/>
  <c r="T236" i="1"/>
  <c r="M236" i="1"/>
  <c r="N236" i="1" s="1"/>
  <c r="J236" i="1"/>
  <c r="H236" i="1"/>
  <c r="G236" i="1"/>
  <c r="F236" i="1"/>
  <c r="E236" i="1"/>
  <c r="AF235" i="1"/>
  <c r="AE235" i="1"/>
  <c r="AD235" i="1"/>
  <c r="W235" i="1"/>
  <c r="V235" i="1"/>
  <c r="U235" i="1"/>
  <c r="T235" i="1"/>
  <c r="M235" i="1"/>
  <c r="N235" i="1" s="1"/>
  <c r="J235" i="1"/>
  <c r="H235" i="1"/>
  <c r="G235" i="1"/>
  <c r="F235" i="1"/>
  <c r="E235" i="1"/>
  <c r="AF234" i="1"/>
  <c r="AE234" i="1"/>
  <c r="AD234" i="1"/>
  <c r="W234" i="1"/>
  <c r="V234" i="1"/>
  <c r="U234" i="1"/>
  <c r="T234" i="1"/>
  <c r="M234" i="1"/>
  <c r="N234" i="1" s="1"/>
  <c r="J234" i="1"/>
  <c r="H234" i="1"/>
  <c r="G234" i="1"/>
  <c r="F234" i="1"/>
  <c r="E234" i="1"/>
  <c r="AF233" i="1"/>
  <c r="AE233" i="1"/>
  <c r="AD233" i="1"/>
  <c r="W233" i="1"/>
  <c r="V233" i="1"/>
  <c r="U233" i="1"/>
  <c r="T233" i="1"/>
  <c r="M233" i="1"/>
  <c r="N233" i="1" s="1"/>
  <c r="J233" i="1"/>
  <c r="H233" i="1"/>
  <c r="G233" i="1"/>
  <c r="F233" i="1"/>
  <c r="E233" i="1"/>
  <c r="AF232" i="1"/>
  <c r="AE232" i="1"/>
  <c r="AD232" i="1"/>
  <c r="W232" i="1"/>
  <c r="V232" i="1"/>
  <c r="U232" i="1"/>
  <c r="T232" i="1"/>
  <c r="M232" i="1"/>
  <c r="N232" i="1" s="1"/>
  <c r="J232" i="1"/>
  <c r="H232" i="1"/>
  <c r="G232" i="1"/>
  <c r="F232" i="1"/>
  <c r="E232" i="1"/>
  <c r="AF231" i="1"/>
  <c r="AE231" i="1"/>
  <c r="AD231" i="1"/>
  <c r="W231" i="1"/>
  <c r="V231" i="1"/>
  <c r="U231" i="1"/>
  <c r="T231" i="1"/>
  <c r="M231" i="1"/>
  <c r="N231" i="1" s="1"/>
  <c r="J231" i="1"/>
  <c r="H231" i="1"/>
  <c r="G231" i="1"/>
  <c r="F231" i="1"/>
  <c r="E231" i="1"/>
  <c r="AF230" i="1"/>
  <c r="AE230" i="1"/>
  <c r="AD230" i="1"/>
  <c r="W230" i="1"/>
  <c r="V230" i="1"/>
  <c r="U230" i="1"/>
  <c r="T230" i="1"/>
  <c r="M230" i="1"/>
  <c r="N230" i="1" s="1"/>
  <c r="J230" i="1"/>
  <c r="H230" i="1"/>
  <c r="G230" i="1"/>
  <c r="F230" i="1"/>
  <c r="E230" i="1"/>
  <c r="AF229" i="1"/>
  <c r="AE229" i="1"/>
  <c r="AD229" i="1"/>
  <c r="W229" i="1"/>
  <c r="V229" i="1"/>
  <c r="U229" i="1"/>
  <c r="T229" i="1"/>
  <c r="M229" i="1"/>
  <c r="N229" i="1" s="1"/>
  <c r="J229" i="1"/>
  <c r="H229" i="1"/>
  <c r="G229" i="1"/>
  <c r="F229" i="1"/>
  <c r="E229" i="1"/>
  <c r="AF228" i="1"/>
  <c r="AE228" i="1"/>
  <c r="AD228" i="1"/>
  <c r="W228" i="1"/>
  <c r="V228" i="1"/>
  <c r="U228" i="1"/>
  <c r="T228" i="1"/>
  <c r="M228" i="1"/>
  <c r="N228" i="1" s="1"/>
  <c r="J228" i="1"/>
  <c r="H228" i="1"/>
  <c r="G228" i="1"/>
  <c r="F228" i="1"/>
  <c r="E228" i="1"/>
  <c r="AF227" i="1"/>
  <c r="AE227" i="1"/>
  <c r="AD227" i="1"/>
  <c r="W227" i="1"/>
  <c r="V227" i="1"/>
  <c r="U227" i="1"/>
  <c r="T227" i="1"/>
  <c r="M227" i="1"/>
  <c r="N227" i="1" s="1"/>
  <c r="J227" i="1"/>
  <c r="H227" i="1"/>
  <c r="G227" i="1"/>
  <c r="F227" i="1"/>
  <c r="E227" i="1"/>
  <c r="AF226" i="1"/>
  <c r="AE226" i="1"/>
  <c r="AD226" i="1"/>
  <c r="W226" i="1"/>
  <c r="V226" i="1"/>
  <c r="U226" i="1"/>
  <c r="T226" i="1"/>
  <c r="M226" i="1"/>
  <c r="N226" i="1" s="1"/>
  <c r="J226" i="1"/>
  <c r="H226" i="1"/>
  <c r="G226" i="1"/>
  <c r="F226" i="1"/>
  <c r="E226" i="1"/>
  <c r="AF225" i="1"/>
  <c r="AE225" i="1"/>
  <c r="AD225" i="1"/>
  <c r="W225" i="1"/>
  <c r="V225" i="1"/>
  <c r="U225" i="1"/>
  <c r="T225" i="1"/>
  <c r="M225" i="1"/>
  <c r="N225" i="1" s="1"/>
  <c r="J225" i="1"/>
  <c r="H225" i="1"/>
  <c r="G225" i="1"/>
  <c r="F225" i="1"/>
  <c r="E225" i="1"/>
  <c r="AF224" i="1"/>
  <c r="AE224" i="1"/>
  <c r="AD224" i="1"/>
  <c r="W224" i="1"/>
  <c r="V224" i="1"/>
  <c r="U224" i="1"/>
  <c r="T224" i="1"/>
  <c r="M224" i="1"/>
  <c r="N224" i="1" s="1"/>
  <c r="J224" i="1"/>
  <c r="H224" i="1"/>
  <c r="G224" i="1"/>
  <c r="F224" i="1"/>
  <c r="E224" i="1"/>
  <c r="AF223" i="1"/>
  <c r="AE223" i="1"/>
  <c r="AD223" i="1"/>
  <c r="W223" i="1"/>
  <c r="V223" i="1"/>
  <c r="U223" i="1"/>
  <c r="T223" i="1"/>
  <c r="M223" i="1"/>
  <c r="N223" i="1" s="1"/>
  <c r="J223" i="1"/>
  <c r="H223" i="1"/>
  <c r="G223" i="1"/>
  <c r="F223" i="1"/>
  <c r="E223" i="1"/>
  <c r="AF222" i="1"/>
  <c r="AE222" i="1"/>
  <c r="AD222" i="1"/>
  <c r="W222" i="1"/>
  <c r="V222" i="1"/>
  <c r="U222" i="1"/>
  <c r="T222" i="1"/>
  <c r="M222" i="1"/>
  <c r="N222" i="1" s="1"/>
  <c r="J222" i="1"/>
  <c r="H222" i="1"/>
  <c r="G222" i="1"/>
  <c r="F222" i="1"/>
  <c r="E222" i="1"/>
  <c r="AF221" i="1"/>
  <c r="AE221" i="1"/>
  <c r="AD221" i="1"/>
  <c r="W221" i="1"/>
  <c r="V221" i="1"/>
  <c r="U221" i="1"/>
  <c r="T221" i="1"/>
  <c r="M221" i="1"/>
  <c r="N221" i="1" s="1"/>
  <c r="J221" i="1"/>
  <c r="H221" i="1"/>
  <c r="G221" i="1"/>
  <c r="F221" i="1"/>
  <c r="E221" i="1"/>
  <c r="AF220" i="1"/>
  <c r="AE220" i="1"/>
  <c r="AD220" i="1"/>
  <c r="W220" i="1"/>
  <c r="V220" i="1"/>
  <c r="U220" i="1"/>
  <c r="T220" i="1"/>
  <c r="M220" i="1"/>
  <c r="N220" i="1" s="1"/>
  <c r="J220" i="1"/>
  <c r="H220" i="1"/>
  <c r="G220" i="1"/>
  <c r="F220" i="1"/>
  <c r="E220" i="1"/>
  <c r="AF219" i="1"/>
  <c r="AE219" i="1"/>
  <c r="AD219" i="1"/>
  <c r="W219" i="1"/>
  <c r="V219" i="1"/>
  <c r="U219" i="1"/>
  <c r="T219" i="1"/>
  <c r="N219" i="1"/>
  <c r="M219" i="1"/>
  <c r="J219" i="1"/>
  <c r="H219" i="1"/>
  <c r="G219" i="1"/>
  <c r="F219" i="1"/>
  <c r="E219" i="1"/>
  <c r="AF218" i="1"/>
  <c r="AE218" i="1"/>
  <c r="AD218" i="1"/>
  <c r="W218" i="1"/>
  <c r="V218" i="1"/>
  <c r="U218" i="1"/>
  <c r="T218" i="1"/>
  <c r="M218" i="1"/>
  <c r="N218" i="1" s="1"/>
  <c r="J218" i="1"/>
  <c r="H218" i="1"/>
  <c r="G218" i="1"/>
  <c r="F218" i="1"/>
  <c r="E218" i="1"/>
  <c r="AF217" i="1"/>
  <c r="AE217" i="1"/>
  <c r="AD217" i="1"/>
  <c r="W217" i="1"/>
  <c r="V217" i="1"/>
  <c r="U217" i="1"/>
  <c r="T217" i="1"/>
  <c r="M217" i="1"/>
  <c r="N217" i="1" s="1"/>
  <c r="J217" i="1"/>
  <c r="H217" i="1"/>
  <c r="G217" i="1"/>
  <c r="F217" i="1"/>
  <c r="E217" i="1"/>
  <c r="AF216" i="1"/>
  <c r="AE216" i="1"/>
  <c r="AD216" i="1"/>
  <c r="W216" i="1"/>
  <c r="V216" i="1"/>
  <c r="U216" i="1"/>
  <c r="T216" i="1"/>
  <c r="M216" i="1"/>
  <c r="N216" i="1" s="1"/>
  <c r="J216" i="1"/>
  <c r="H216" i="1"/>
  <c r="G216" i="1"/>
  <c r="F216" i="1"/>
  <c r="E216" i="1"/>
  <c r="AF215" i="1"/>
  <c r="AE215" i="1"/>
  <c r="AD215" i="1"/>
  <c r="W215" i="1"/>
  <c r="V215" i="1"/>
  <c r="U215" i="1"/>
  <c r="T215" i="1"/>
  <c r="M215" i="1"/>
  <c r="N215" i="1" s="1"/>
  <c r="J215" i="1"/>
  <c r="H215" i="1"/>
  <c r="G215" i="1"/>
  <c r="F215" i="1"/>
  <c r="E215" i="1"/>
  <c r="AF214" i="1"/>
  <c r="AE214" i="1"/>
  <c r="AD214" i="1"/>
  <c r="W214" i="1"/>
  <c r="V214" i="1"/>
  <c r="U214" i="1"/>
  <c r="T214" i="1"/>
  <c r="M214" i="1"/>
  <c r="N214" i="1" s="1"/>
  <c r="J214" i="1"/>
  <c r="H214" i="1"/>
  <c r="G214" i="1"/>
  <c r="F214" i="1"/>
  <c r="E214" i="1"/>
  <c r="AF213" i="1"/>
  <c r="AE213" i="1"/>
  <c r="AD213" i="1"/>
  <c r="W213" i="1"/>
  <c r="V213" i="1"/>
  <c r="U213" i="1"/>
  <c r="T213" i="1"/>
  <c r="M213" i="1"/>
  <c r="N213" i="1" s="1"/>
  <c r="J213" i="1"/>
  <c r="H213" i="1"/>
  <c r="G213" i="1"/>
  <c r="F213" i="1"/>
  <c r="E213" i="1"/>
  <c r="AF212" i="1"/>
  <c r="AE212" i="1"/>
  <c r="AD212" i="1"/>
  <c r="W212" i="1"/>
  <c r="V212" i="1"/>
  <c r="U212" i="1"/>
  <c r="T212" i="1"/>
  <c r="M212" i="1"/>
  <c r="N212" i="1" s="1"/>
  <c r="J212" i="1"/>
  <c r="H212" i="1"/>
  <c r="G212" i="1"/>
  <c r="F212" i="1"/>
  <c r="E212" i="1"/>
  <c r="AF211" i="1"/>
  <c r="AE211" i="1"/>
  <c r="AD211" i="1"/>
  <c r="W211" i="1"/>
  <c r="V211" i="1"/>
  <c r="U211" i="1"/>
  <c r="T211" i="1"/>
  <c r="M211" i="1"/>
  <c r="N211" i="1" s="1"/>
  <c r="J211" i="1"/>
  <c r="H211" i="1"/>
  <c r="G211" i="1"/>
  <c r="F211" i="1"/>
  <c r="E211" i="1"/>
  <c r="AF210" i="1"/>
  <c r="AE210" i="1"/>
  <c r="AD210" i="1"/>
  <c r="W210" i="1"/>
  <c r="V210" i="1"/>
  <c r="U210" i="1"/>
  <c r="T210" i="1"/>
  <c r="M210" i="1"/>
  <c r="N210" i="1" s="1"/>
  <c r="J210" i="1"/>
  <c r="H210" i="1"/>
  <c r="G210" i="1"/>
  <c r="F210" i="1"/>
  <c r="E210" i="1"/>
  <c r="AF209" i="1"/>
  <c r="AE209" i="1"/>
  <c r="AD209" i="1"/>
  <c r="W209" i="1"/>
  <c r="V209" i="1"/>
  <c r="U209" i="1"/>
  <c r="T209" i="1"/>
  <c r="M209" i="1"/>
  <c r="N209" i="1" s="1"/>
  <c r="J209" i="1"/>
  <c r="H209" i="1"/>
  <c r="G209" i="1"/>
  <c r="F209" i="1"/>
  <c r="E209" i="1"/>
  <c r="AF208" i="1"/>
  <c r="AE208" i="1"/>
  <c r="AD208" i="1"/>
  <c r="W208" i="1"/>
  <c r="V208" i="1"/>
  <c r="U208" i="1"/>
  <c r="T208" i="1"/>
  <c r="M208" i="1"/>
  <c r="N208" i="1" s="1"/>
  <c r="J208" i="1"/>
  <c r="H208" i="1"/>
  <c r="G208" i="1"/>
  <c r="F208" i="1"/>
  <c r="E208" i="1"/>
  <c r="AF207" i="1"/>
  <c r="AE207" i="1"/>
  <c r="AD207" i="1"/>
  <c r="W207" i="1"/>
  <c r="V207" i="1"/>
  <c r="U207" i="1"/>
  <c r="T207" i="1"/>
  <c r="M207" i="1"/>
  <c r="N207" i="1" s="1"/>
  <c r="J207" i="1"/>
  <c r="H207" i="1"/>
  <c r="G207" i="1"/>
  <c r="F207" i="1"/>
  <c r="E207" i="1"/>
  <c r="AF206" i="1"/>
  <c r="AE206" i="1"/>
  <c r="AD206" i="1"/>
  <c r="W206" i="1"/>
  <c r="V206" i="1"/>
  <c r="U206" i="1"/>
  <c r="T206" i="1"/>
  <c r="M206" i="1"/>
  <c r="N206" i="1" s="1"/>
  <c r="J206" i="1"/>
  <c r="H206" i="1"/>
  <c r="G206" i="1"/>
  <c r="F206" i="1"/>
  <c r="E206" i="1"/>
  <c r="AF205" i="1"/>
  <c r="AE205" i="1"/>
  <c r="AD205" i="1"/>
  <c r="W205" i="1"/>
  <c r="V205" i="1"/>
  <c r="U205" i="1"/>
  <c r="T205" i="1"/>
  <c r="M205" i="1"/>
  <c r="N205" i="1" s="1"/>
  <c r="J205" i="1"/>
  <c r="H205" i="1"/>
  <c r="G205" i="1"/>
  <c r="F205" i="1"/>
  <c r="E205" i="1"/>
  <c r="AF204" i="1"/>
  <c r="AE204" i="1"/>
  <c r="AD204" i="1"/>
  <c r="W204" i="1"/>
  <c r="V204" i="1"/>
  <c r="U204" i="1"/>
  <c r="T204" i="1"/>
  <c r="M204" i="1"/>
  <c r="N204" i="1" s="1"/>
  <c r="J204" i="1"/>
  <c r="H204" i="1"/>
  <c r="G204" i="1"/>
  <c r="F204" i="1"/>
  <c r="E204" i="1"/>
  <c r="AF203" i="1"/>
  <c r="AE203" i="1"/>
  <c r="AD203" i="1"/>
  <c r="W203" i="1"/>
  <c r="V203" i="1"/>
  <c r="U203" i="1"/>
  <c r="T203" i="1"/>
  <c r="M203" i="1"/>
  <c r="N203" i="1" s="1"/>
  <c r="J203" i="1"/>
  <c r="H203" i="1"/>
  <c r="G203" i="1"/>
  <c r="F203" i="1"/>
  <c r="E203" i="1"/>
  <c r="AF202" i="1"/>
  <c r="AE202" i="1"/>
  <c r="AD202" i="1"/>
  <c r="W202" i="1"/>
  <c r="V202" i="1"/>
  <c r="U202" i="1"/>
  <c r="T202" i="1"/>
  <c r="M202" i="1"/>
  <c r="N202" i="1" s="1"/>
  <c r="J202" i="1"/>
  <c r="H202" i="1"/>
  <c r="G202" i="1"/>
  <c r="F202" i="1"/>
  <c r="E202" i="1"/>
  <c r="AF201" i="1"/>
  <c r="AE201" i="1"/>
  <c r="AD201" i="1"/>
  <c r="W201" i="1"/>
  <c r="V201" i="1"/>
  <c r="U201" i="1"/>
  <c r="T201" i="1"/>
  <c r="M201" i="1"/>
  <c r="N201" i="1" s="1"/>
  <c r="J201" i="1"/>
  <c r="H201" i="1"/>
  <c r="G201" i="1"/>
  <c r="F201" i="1"/>
  <c r="E201" i="1"/>
  <c r="AF200" i="1"/>
  <c r="AE200" i="1"/>
  <c r="AD200" i="1"/>
  <c r="W200" i="1"/>
  <c r="V200" i="1"/>
  <c r="U200" i="1"/>
  <c r="T200" i="1"/>
  <c r="M200" i="1"/>
  <c r="N200" i="1" s="1"/>
  <c r="J200" i="1"/>
  <c r="H200" i="1"/>
  <c r="G200" i="1"/>
  <c r="F200" i="1"/>
  <c r="E200" i="1"/>
  <c r="AF199" i="1"/>
  <c r="AE199" i="1"/>
  <c r="AD199" i="1"/>
  <c r="W199" i="1"/>
  <c r="V199" i="1"/>
  <c r="U199" i="1"/>
  <c r="T199" i="1"/>
  <c r="M199" i="1"/>
  <c r="N199" i="1" s="1"/>
  <c r="J199" i="1"/>
  <c r="H199" i="1"/>
  <c r="G199" i="1"/>
  <c r="F199" i="1"/>
  <c r="E199" i="1"/>
  <c r="AF198" i="1"/>
  <c r="AE198" i="1"/>
  <c r="AD198" i="1"/>
  <c r="W198" i="1"/>
  <c r="V198" i="1"/>
  <c r="U198" i="1"/>
  <c r="T198" i="1"/>
  <c r="M198" i="1"/>
  <c r="N198" i="1" s="1"/>
  <c r="J198" i="1"/>
  <c r="H198" i="1"/>
  <c r="G198" i="1"/>
  <c r="F198" i="1"/>
  <c r="E198" i="1"/>
  <c r="AF197" i="1"/>
  <c r="AE197" i="1"/>
  <c r="AD197" i="1"/>
  <c r="W197" i="1"/>
  <c r="V197" i="1"/>
  <c r="U197" i="1"/>
  <c r="T197" i="1"/>
  <c r="M197" i="1"/>
  <c r="N197" i="1" s="1"/>
  <c r="J197" i="1"/>
  <c r="H197" i="1"/>
  <c r="G197" i="1"/>
  <c r="F197" i="1"/>
  <c r="E197" i="1"/>
  <c r="AF196" i="1"/>
  <c r="AE196" i="1"/>
  <c r="AD196" i="1"/>
  <c r="W196" i="1"/>
  <c r="V196" i="1"/>
  <c r="U196" i="1"/>
  <c r="T196" i="1"/>
  <c r="M196" i="1"/>
  <c r="N196" i="1" s="1"/>
  <c r="J196" i="1"/>
  <c r="H196" i="1"/>
  <c r="G196" i="1"/>
  <c r="F196" i="1"/>
  <c r="E196" i="1"/>
  <c r="AF195" i="1"/>
  <c r="AE195" i="1"/>
  <c r="AD195" i="1"/>
  <c r="W195" i="1"/>
  <c r="V195" i="1"/>
  <c r="U195" i="1"/>
  <c r="T195" i="1"/>
  <c r="M195" i="1"/>
  <c r="N195" i="1" s="1"/>
  <c r="J195" i="1"/>
  <c r="H195" i="1"/>
  <c r="G195" i="1"/>
  <c r="F195" i="1"/>
  <c r="E195" i="1"/>
  <c r="AF194" i="1"/>
  <c r="AE194" i="1"/>
  <c r="AD194" i="1"/>
  <c r="W194" i="1"/>
  <c r="V194" i="1"/>
  <c r="U194" i="1"/>
  <c r="T194" i="1"/>
  <c r="M194" i="1"/>
  <c r="N194" i="1" s="1"/>
  <c r="J194" i="1"/>
  <c r="H194" i="1"/>
  <c r="G194" i="1"/>
  <c r="F194" i="1"/>
  <c r="E194" i="1"/>
  <c r="AF193" i="1"/>
  <c r="AE193" i="1"/>
  <c r="AD193" i="1"/>
  <c r="W193" i="1"/>
  <c r="V193" i="1"/>
  <c r="U193" i="1"/>
  <c r="T193" i="1"/>
  <c r="M193" i="1"/>
  <c r="N193" i="1" s="1"/>
  <c r="J193" i="1"/>
  <c r="H193" i="1"/>
  <c r="G193" i="1"/>
  <c r="F193" i="1"/>
  <c r="E193" i="1"/>
  <c r="AF192" i="1"/>
  <c r="AE192" i="1"/>
  <c r="AD192" i="1"/>
  <c r="W192" i="1"/>
  <c r="V192" i="1"/>
  <c r="U192" i="1"/>
  <c r="T192" i="1"/>
  <c r="M192" i="1"/>
  <c r="N192" i="1" s="1"/>
  <c r="J192" i="1"/>
  <c r="H192" i="1"/>
  <c r="G192" i="1"/>
  <c r="F192" i="1"/>
  <c r="E192" i="1"/>
  <c r="AF191" i="1"/>
  <c r="AE191" i="1"/>
  <c r="AD191" i="1"/>
  <c r="W191" i="1"/>
  <c r="V191" i="1"/>
  <c r="U191" i="1"/>
  <c r="T191" i="1"/>
  <c r="N191" i="1"/>
  <c r="M191" i="1"/>
  <c r="J191" i="1"/>
  <c r="H191" i="1"/>
  <c r="G191" i="1"/>
  <c r="F191" i="1"/>
  <c r="E191" i="1"/>
  <c r="AF190" i="1"/>
  <c r="AE190" i="1"/>
  <c r="AD190" i="1"/>
  <c r="W190" i="1"/>
  <c r="V190" i="1"/>
  <c r="U190" i="1"/>
  <c r="T190" i="1"/>
  <c r="M190" i="1"/>
  <c r="N190" i="1" s="1"/>
  <c r="J190" i="1"/>
  <c r="H190" i="1"/>
  <c r="G190" i="1"/>
  <c r="F190" i="1"/>
  <c r="E190" i="1"/>
  <c r="AF189" i="1"/>
  <c r="AE189" i="1"/>
  <c r="AD189" i="1"/>
  <c r="W189" i="1"/>
  <c r="V189" i="1"/>
  <c r="U189" i="1"/>
  <c r="T189" i="1"/>
  <c r="M189" i="1"/>
  <c r="N189" i="1" s="1"/>
  <c r="J189" i="1"/>
  <c r="H189" i="1"/>
  <c r="G189" i="1"/>
  <c r="F189" i="1"/>
  <c r="E189" i="1"/>
  <c r="AF188" i="1"/>
  <c r="AE188" i="1"/>
  <c r="AD188" i="1"/>
  <c r="W188" i="1"/>
  <c r="V188" i="1"/>
  <c r="U188" i="1"/>
  <c r="T188" i="1"/>
  <c r="M188" i="1"/>
  <c r="N188" i="1" s="1"/>
  <c r="J188" i="1"/>
  <c r="H188" i="1"/>
  <c r="G188" i="1"/>
  <c r="F188" i="1"/>
  <c r="E188" i="1"/>
  <c r="AF187" i="1"/>
  <c r="AE187" i="1"/>
  <c r="AD187" i="1"/>
  <c r="W187" i="1"/>
  <c r="V187" i="1"/>
  <c r="U187" i="1"/>
  <c r="T187" i="1"/>
  <c r="N187" i="1"/>
  <c r="M187" i="1"/>
  <c r="J187" i="1"/>
  <c r="H187" i="1"/>
  <c r="G187" i="1"/>
  <c r="F187" i="1"/>
  <c r="E187" i="1"/>
  <c r="AF186" i="1"/>
  <c r="AE186" i="1"/>
  <c r="AD186" i="1"/>
  <c r="W186" i="1"/>
  <c r="V186" i="1"/>
  <c r="U186" i="1"/>
  <c r="T186" i="1"/>
  <c r="M186" i="1"/>
  <c r="N186" i="1" s="1"/>
  <c r="J186" i="1"/>
  <c r="H186" i="1"/>
  <c r="G186" i="1"/>
  <c r="F186" i="1"/>
  <c r="E186" i="1"/>
  <c r="AF185" i="1"/>
  <c r="AE185" i="1"/>
  <c r="AD185" i="1"/>
  <c r="W185" i="1"/>
  <c r="V185" i="1"/>
  <c r="U185" i="1"/>
  <c r="T185" i="1"/>
  <c r="M185" i="1"/>
  <c r="N185" i="1" s="1"/>
  <c r="J185" i="1"/>
  <c r="H185" i="1"/>
  <c r="G185" i="1"/>
  <c r="F185" i="1"/>
  <c r="E185" i="1"/>
  <c r="AF184" i="1"/>
  <c r="AE184" i="1"/>
  <c r="AD184" i="1"/>
  <c r="W184" i="1"/>
  <c r="V184" i="1"/>
  <c r="U184" i="1"/>
  <c r="T184" i="1"/>
  <c r="M184" i="1"/>
  <c r="N184" i="1" s="1"/>
  <c r="J184" i="1"/>
  <c r="H184" i="1"/>
  <c r="G184" i="1"/>
  <c r="F184" i="1"/>
  <c r="E184" i="1"/>
  <c r="AF183" i="1"/>
  <c r="AE183" i="1"/>
  <c r="AD183" i="1"/>
  <c r="W183" i="1"/>
  <c r="V183" i="1"/>
  <c r="U183" i="1"/>
  <c r="M183" i="1"/>
  <c r="T183" i="1" s="1"/>
  <c r="J183" i="1"/>
  <c r="H183" i="1"/>
  <c r="G183" i="1"/>
  <c r="F183" i="1"/>
  <c r="E183" i="1"/>
  <c r="AF182" i="1"/>
  <c r="AE182" i="1"/>
  <c r="AD182" i="1"/>
  <c r="W182" i="1"/>
  <c r="V182" i="1"/>
  <c r="U182" i="1"/>
  <c r="T182" i="1"/>
  <c r="M182" i="1"/>
  <c r="N182" i="1" s="1"/>
  <c r="J182" i="1"/>
  <c r="H182" i="1"/>
  <c r="G182" i="1"/>
  <c r="F182" i="1"/>
  <c r="E182" i="1"/>
  <c r="AF181" i="1"/>
  <c r="AE181" i="1"/>
  <c r="AD181" i="1"/>
  <c r="W181" i="1"/>
  <c r="V181" i="1"/>
  <c r="U181" i="1"/>
  <c r="T181" i="1"/>
  <c r="M181" i="1"/>
  <c r="N181" i="1" s="1"/>
  <c r="J181" i="1"/>
  <c r="H181" i="1"/>
  <c r="G181" i="1"/>
  <c r="F181" i="1"/>
  <c r="E181" i="1"/>
  <c r="AF180" i="1"/>
  <c r="AE180" i="1"/>
  <c r="AD180" i="1"/>
  <c r="W180" i="1"/>
  <c r="V180" i="1"/>
  <c r="U180" i="1"/>
  <c r="T180" i="1"/>
  <c r="M180" i="1"/>
  <c r="N180" i="1" s="1"/>
  <c r="J180" i="1"/>
  <c r="H180" i="1"/>
  <c r="G180" i="1"/>
  <c r="F180" i="1"/>
  <c r="E180" i="1"/>
  <c r="AF179" i="1"/>
  <c r="AE179" i="1"/>
  <c r="AD179" i="1"/>
  <c r="W179" i="1"/>
  <c r="V179" i="1"/>
  <c r="U179" i="1"/>
  <c r="T179" i="1"/>
  <c r="M179" i="1"/>
  <c r="N179" i="1" s="1"/>
  <c r="J179" i="1"/>
  <c r="H179" i="1"/>
  <c r="G179" i="1"/>
  <c r="F179" i="1"/>
  <c r="E179" i="1"/>
  <c r="AF178" i="1"/>
  <c r="AE178" i="1"/>
  <c r="AD178" i="1"/>
  <c r="W178" i="1"/>
  <c r="V178" i="1"/>
  <c r="U178" i="1"/>
  <c r="T178" i="1"/>
  <c r="M178" i="1"/>
  <c r="N178" i="1" s="1"/>
  <c r="J178" i="1"/>
  <c r="H178" i="1"/>
  <c r="G178" i="1"/>
  <c r="F178" i="1"/>
  <c r="E178" i="1"/>
  <c r="AF177" i="1"/>
  <c r="AE177" i="1"/>
  <c r="AD177" i="1"/>
  <c r="W177" i="1"/>
  <c r="V177" i="1"/>
  <c r="U177" i="1"/>
  <c r="T177" i="1"/>
  <c r="M177" i="1"/>
  <c r="N177" i="1" s="1"/>
  <c r="J177" i="1"/>
  <c r="H177" i="1"/>
  <c r="G177" i="1"/>
  <c r="F177" i="1"/>
  <c r="E177" i="1"/>
  <c r="AF176" i="1"/>
  <c r="AE176" i="1"/>
  <c r="AD176" i="1"/>
  <c r="W176" i="1"/>
  <c r="V176" i="1"/>
  <c r="U176" i="1"/>
  <c r="T176" i="1"/>
  <c r="M176" i="1"/>
  <c r="N176" i="1" s="1"/>
  <c r="J176" i="1"/>
  <c r="H176" i="1"/>
  <c r="G176" i="1"/>
  <c r="F176" i="1"/>
  <c r="E176" i="1"/>
  <c r="AF175" i="1"/>
  <c r="AE175" i="1"/>
  <c r="AD175" i="1"/>
  <c r="W175" i="1"/>
  <c r="V175" i="1"/>
  <c r="U175" i="1"/>
  <c r="T175" i="1"/>
  <c r="M175" i="1"/>
  <c r="N175" i="1" s="1"/>
  <c r="J175" i="1"/>
  <c r="H175" i="1"/>
  <c r="G175" i="1"/>
  <c r="F175" i="1"/>
  <c r="E175" i="1"/>
  <c r="AF174" i="1"/>
  <c r="AE174" i="1"/>
  <c r="AD174" i="1"/>
  <c r="W174" i="1"/>
  <c r="V174" i="1"/>
  <c r="U174" i="1"/>
  <c r="T174" i="1"/>
  <c r="M174" i="1"/>
  <c r="N174" i="1" s="1"/>
  <c r="J174" i="1"/>
  <c r="H174" i="1"/>
  <c r="G174" i="1"/>
  <c r="F174" i="1"/>
  <c r="E174" i="1"/>
  <c r="AF173" i="1"/>
  <c r="AE173" i="1"/>
  <c r="AD173" i="1"/>
  <c r="W173" i="1"/>
  <c r="V173" i="1"/>
  <c r="U173" i="1"/>
  <c r="T173" i="1"/>
  <c r="M173" i="1"/>
  <c r="N173" i="1" s="1"/>
  <c r="J173" i="1"/>
  <c r="H173" i="1"/>
  <c r="G173" i="1"/>
  <c r="F173" i="1"/>
  <c r="E173" i="1"/>
  <c r="AF172" i="1"/>
  <c r="AE172" i="1"/>
  <c r="AD172" i="1"/>
  <c r="W172" i="1"/>
  <c r="V172" i="1"/>
  <c r="U172" i="1"/>
  <c r="T172" i="1"/>
  <c r="M172" i="1"/>
  <c r="N172" i="1" s="1"/>
  <c r="J172" i="1"/>
  <c r="H172" i="1"/>
  <c r="G172" i="1"/>
  <c r="F172" i="1"/>
  <c r="E172" i="1"/>
  <c r="AF171" i="1"/>
  <c r="AE171" i="1"/>
  <c r="AD171" i="1"/>
  <c r="W171" i="1"/>
  <c r="V171" i="1"/>
  <c r="U171" i="1"/>
  <c r="T171" i="1"/>
  <c r="M171" i="1"/>
  <c r="N171" i="1" s="1"/>
  <c r="J171" i="1"/>
  <c r="H171" i="1"/>
  <c r="G171" i="1"/>
  <c r="F171" i="1"/>
  <c r="E171" i="1"/>
  <c r="AF170" i="1"/>
  <c r="AE170" i="1"/>
  <c r="AD170" i="1"/>
  <c r="W170" i="1"/>
  <c r="V170" i="1"/>
  <c r="U170" i="1"/>
  <c r="T170" i="1"/>
  <c r="M170" i="1"/>
  <c r="N170" i="1" s="1"/>
  <c r="J170" i="1"/>
  <c r="H170" i="1"/>
  <c r="G170" i="1"/>
  <c r="F170" i="1"/>
  <c r="E170" i="1"/>
  <c r="AF169" i="1"/>
  <c r="AE169" i="1"/>
  <c r="AD169" i="1"/>
  <c r="W169" i="1"/>
  <c r="V169" i="1"/>
  <c r="U169" i="1"/>
  <c r="T169" i="1"/>
  <c r="M169" i="1"/>
  <c r="N169" i="1" s="1"/>
  <c r="J169" i="1"/>
  <c r="H169" i="1"/>
  <c r="G169" i="1"/>
  <c r="F169" i="1"/>
  <c r="E169" i="1"/>
  <c r="AF168" i="1"/>
  <c r="AE168" i="1"/>
  <c r="AD168" i="1"/>
  <c r="W168" i="1"/>
  <c r="V168" i="1"/>
  <c r="U168" i="1"/>
  <c r="T168" i="1"/>
  <c r="M168" i="1"/>
  <c r="N168" i="1" s="1"/>
  <c r="J168" i="1"/>
  <c r="H168" i="1"/>
  <c r="G168" i="1"/>
  <c r="F168" i="1"/>
  <c r="E168" i="1"/>
  <c r="AF167" i="1"/>
  <c r="AE167" i="1"/>
  <c r="AD167" i="1"/>
  <c r="W167" i="1"/>
  <c r="V167" i="1"/>
  <c r="U167" i="1"/>
  <c r="T167" i="1"/>
  <c r="M167" i="1"/>
  <c r="N167" i="1" s="1"/>
  <c r="J167" i="1"/>
  <c r="H167" i="1"/>
  <c r="G167" i="1"/>
  <c r="F167" i="1"/>
  <c r="E167" i="1"/>
  <c r="AF166" i="1"/>
  <c r="AE166" i="1"/>
  <c r="AD166" i="1"/>
  <c r="W166" i="1"/>
  <c r="V166" i="1"/>
  <c r="U166" i="1"/>
  <c r="T166" i="1"/>
  <c r="M166" i="1"/>
  <c r="N166" i="1" s="1"/>
  <c r="J166" i="1"/>
  <c r="H166" i="1"/>
  <c r="G166" i="1"/>
  <c r="F166" i="1"/>
  <c r="E166" i="1"/>
  <c r="AF165" i="1"/>
  <c r="AE165" i="1"/>
  <c r="AD165" i="1"/>
  <c r="W165" i="1"/>
  <c r="V165" i="1"/>
  <c r="U165" i="1"/>
  <c r="T165" i="1"/>
  <c r="M165" i="1"/>
  <c r="N165" i="1" s="1"/>
  <c r="J165" i="1"/>
  <c r="H165" i="1"/>
  <c r="G165" i="1"/>
  <c r="F165" i="1"/>
  <c r="E165" i="1"/>
  <c r="AF164" i="1"/>
  <c r="AE164" i="1"/>
  <c r="AD164" i="1"/>
  <c r="W164" i="1"/>
  <c r="V164" i="1"/>
  <c r="U164" i="1"/>
  <c r="T164" i="1"/>
  <c r="M164" i="1"/>
  <c r="N164" i="1" s="1"/>
  <c r="J164" i="1"/>
  <c r="H164" i="1"/>
  <c r="G164" i="1"/>
  <c r="F164" i="1"/>
  <c r="E164" i="1"/>
  <c r="AF163" i="1"/>
  <c r="AE163" i="1"/>
  <c r="AD163" i="1"/>
  <c r="W163" i="1"/>
  <c r="V163" i="1"/>
  <c r="U163" i="1"/>
  <c r="T163" i="1"/>
  <c r="N163" i="1"/>
  <c r="M163" i="1"/>
  <c r="J163" i="1"/>
  <c r="H163" i="1"/>
  <c r="G163" i="1"/>
  <c r="F163" i="1"/>
  <c r="E163" i="1"/>
  <c r="AF162" i="1"/>
  <c r="AE162" i="1"/>
  <c r="AD162" i="1"/>
  <c r="W162" i="1"/>
  <c r="V162" i="1"/>
  <c r="U162" i="1"/>
  <c r="T162" i="1"/>
  <c r="M162" i="1"/>
  <c r="N162" i="1" s="1"/>
  <c r="J162" i="1"/>
  <c r="H162" i="1"/>
  <c r="G162" i="1"/>
  <c r="F162" i="1"/>
  <c r="E162" i="1"/>
  <c r="AF161" i="1"/>
  <c r="AE161" i="1"/>
  <c r="AD161" i="1"/>
  <c r="W161" i="1"/>
  <c r="V161" i="1"/>
  <c r="U161" i="1"/>
  <c r="T161" i="1"/>
  <c r="M161" i="1"/>
  <c r="N161" i="1" s="1"/>
  <c r="J161" i="1"/>
  <c r="H161" i="1"/>
  <c r="G161" i="1"/>
  <c r="F161" i="1"/>
  <c r="E161" i="1"/>
  <c r="AF160" i="1"/>
  <c r="AE160" i="1"/>
  <c r="AD160" i="1"/>
  <c r="W160" i="1"/>
  <c r="V160" i="1"/>
  <c r="U160" i="1"/>
  <c r="T160" i="1"/>
  <c r="M160" i="1"/>
  <c r="N160" i="1" s="1"/>
  <c r="J160" i="1"/>
  <c r="H160" i="1"/>
  <c r="G160" i="1"/>
  <c r="F160" i="1"/>
  <c r="E160" i="1"/>
  <c r="AF159" i="1"/>
  <c r="AE159" i="1"/>
  <c r="AD159" i="1"/>
  <c r="W159" i="1"/>
  <c r="V159" i="1"/>
  <c r="U159" i="1"/>
  <c r="T159" i="1"/>
  <c r="N159" i="1"/>
  <c r="M159" i="1"/>
  <c r="J159" i="1"/>
  <c r="H159" i="1"/>
  <c r="G159" i="1"/>
  <c r="F159" i="1"/>
  <c r="E159" i="1"/>
  <c r="AF158" i="1"/>
  <c r="AE158" i="1"/>
  <c r="AD158" i="1"/>
  <c r="W158" i="1"/>
  <c r="V158" i="1"/>
  <c r="U158" i="1"/>
  <c r="T158" i="1"/>
  <c r="M158" i="1"/>
  <c r="N158" i="1" s="1"/>
  <c r="J158" i="1"/>
  <c r="H158" i="1"/>
  <c r="G158" i="1"/>
  <c r="F158" i="1"/>
  <c r="E158" i="1"/>
  <c r="AF157" i="1"/>
  <c r="AE157" i="1"/>
  <c r="AD157" i="1"/>
  <c r="W157" i="1"/>
  <c r="V157" i="1"/>
  <c r="U157" i="1"/>
  <c r="T157" i="1"/>
  <c r="M157" i="1"/>
  <c r="N157" i="1" s="1"/>
  <c r="J157" i="1"/>
  <c r="H157" i="1"/>
  <c r="G157" i="1"/>
  <c r="F157" i="1"/>
  <c r="E157" i="1"/>
  <c r="AF156" i="1"/>
  <c r="AE156" i="1"/>
  <c r="AD156" i="1"/>
  <c r="W156" i="1"/>
  <c r="V156" i="1"/>
  <c r="U156" i="1"/>
  <c r="T156" i="1"/>
  <c r="M156" i="1"/>
  <c r="N156" i="1" s="1"/>
  <c r="J156" i="1"/>
  <c r="H156" i="1"/>
  <c r="G156" i="1"/>
  <c r="F156" i="1"/>
  <c r="E156" i="1"/>
  <c r="AF155" i="1"/>
  <c r="AE155" i="1"/>
  <c r="AD155" i="1"/>
  <c r="W155" i="1"/>
  <c r="V155" i="1"/>
  <c r="U155" i="1"/>
  <c r="T155" i="1"/>
  <c r="M155" i="1"/>
  <c r="N155" i="1" s="1"/>
  <c r="J155" i="1"/>
  <c r="H155" i="1"/>
  <c r="G155" i="1"/>
  <c r="F155" i="1"/>
  <c r="E155" i="1"/>
  <c r="AF154" i="1"/>
  <c r="AE154" i="1"/>
  <c r="AD154" i="1"/>
  <c r="W154" i="1"/>
  <c r="V154" i="1"/>
  <c r="U154" i="1"/>
  <c r="T154" i="1"/>
  <c r="M154" i="1"/>
  <c r="N154" i="1" s="1"/>
  <c r="J154" i="1"/>
  <c r="H154" i="1"/>
  <c r="G154" i="1"/>
  <c r="F154" i="1"/>
  <c r="E154" i="1"/>
  <c r="AF153" i="1"/>
  <c r="AE153" i="1"/>
  <c r="AD153" i="1"/>
  <c r="W153" i="1"/>
  <c r="V153" i="1"/>
  <c r="U153" i="1"/>
  <c r="T153" i="1"/>
  <c r="M153" i="1"/>
  <c r="N153" i="1" s="1"/>
  <c r="J153" i="1"/>
  <c r="H153" i="1"/>
  <c r="G153" i="1"/>
  <c r="F153" i="1"/>
  <c r="E153" i="1"/>
  <c r="AF152" i="1"/>
  <c r="AE152" i="1"/>
  <c r="AD152" i="1"/>
  <c r="W152" i="1"/>
  <c r="V152" i="1"/>
  <c r="U152" i="1"/>
  <c r="T152" i="1"/>
  <c r="M152" i="1"/>
  <c r="N152" i="1" s="1"/>
  <c r="J152" i="1"/>
  <c r="H152" i="1"/>
  <c r="G152" i="1"/>
  <c r="F152" i="1"/>
  <c r="E152" i="1"/>
  <c r="AF151" i="1"/>
  <c r="AE151" i="1"/>
  <c r="AD151" i="1"/>
  <c r="W151" i="1"/>
  <c r="V151" i="1"/>
  <c r="U151" i="1"/>
  <c r="T151" i="1"/>
  <c r="M151" i="1"/>
  <c r="N151" i="1" s="1"/>
  <c r="J151" i="1"/>
  <c r="H151" i="1"/>
  <c r="G151" i="1"/>
  <c r="F151" i="1"/>
  <c r="E151" i="1"/>
  <c r="AF150" i="1"/>
  <c r="AE150" i="1"/>
  <c r="AD150" i="1"/>
  <c r="W150" i="1"/>
  <c r="V150" i="1"/>
  <c r="U150" i="1"/>
  <c r="T150" i="1"/>
  <c r="M150" i="1"/>
  <c r="N150" i="1" s="1"/>
  <c r="J150" i="1"/>
  <c r="H150" i="1"/>
  <c r="G150" i="1"/>
  <c r="F150" i="1"/>
  <c r="E150" i="1"/>
  <c r="AF149" i="1"/>
  <c r="AE149" i="1"/>
  <c r="AD149" i="1"/>
  <c r="W149" i="1"/>
  <c r="V149" i="1"/>
  <c r="U149" i="1"/>
  <c r="T149" i="1"/>
  <c r="M149" i="1"/>
  <c r="N149" i="1" s="1"/>
  <c r="J149" i="1"/>
  <c r="H149" i="1"/>
  <c r="G149" i="1"/>
  <c r="F149" i="1"/>
  <c r="E149" i="1"/>
  <c r="AF148" i="1"/>
  <c r="AE148" i="1"/>
  <c r="AD148" i="1"/>
  <c r="W148" i="1"/>
  <c r="V148" i="1"/>
  <c r="U148" i="1"/>
  <c r="T148" i="1"/>
  <c r="M148" i="1"/>
  <c r="N148" i="1" s="1"/>
  <c r="J148" i="1"/>
  <c r="H148" i="1"/>
  <c r="G148" i="1"/>
  <c r="F148" i="1"/>
  <c r="E148" i="1"/>
  <c r="AF147" i="1"/>
  <c r="AE147" i="1"/>
  <c r="AD147" i="1"/>
  <c r="W147" i="1"/>
  <c r="V147" i="1"/>
  <c r="U147" i="1"/>
  <c r="T147" i="1"/>
  <c r="M147" i="1"/>
  <c r="N147" i="1" s="1"/>
  <c r="J147" i="1"/>
  <c r="H147" i="1"/>
  <c r="G147" i="1"/>
  <c r="F147" i="1"/>
  <c r="E147" i="1"/>
  <c r="AF146" i="1"/>
  <c r="AE146" i="1"/>
  <c r="AD146" i="1"/>
  <c r="W146" i="1"/>
  <c r="V146" i="1"/>
  <c r="U146" i="1"/>
  <c r="T146" i="1"/>
  <c r="M146" i="1"/>
  <c r="N146" i="1" s="1"/>
  <c r="J146" i="1"/>
  <c r="H146" i="1"/>
  <c r="G146" i="1"/>
  <c r="F146" i="1"/>
  <c r="E146" i="1"/>
  <c r="AF145" i="1"/>
  <c r="AE145" i="1"/>
  <c r="AD145" i="1"/>
  <c r="W145" i="1"/>
  <c r="V145" i="1"/>
  <c r="U145" i="1"/>
  <c r="T145" i="1"/>
  <c r="M145" i="1"/>
  <c r="N145" i="1" s="1"/>
  <c r="J145" i="1"/>
  <c r="H145" i="1"/>
  <c r="G145" i="1"/>
  <c r="F145" i="1"/>
  <c r="E145" i="1"/>
  <c r="AF144" i="1"/>
  <c r="AE144" i="1"/>
  <c r="AD144" i="1"/>
  <c r="W144" i="1"/>
  <c r="V144" i="1"/>
  <c r="U144" i="1"/>
  <c r="T144" i="1"/>
  <c r="M144" i="1"/>
  <c r="N144" i="1" s="1"/>
  <c r="J144" i="1"/>
  <c r="H144" i="1"/>
  <c r="G144" i="1"/>
  <c r="F144" i="1"/>
  <c r="E144" i="1"/>
  <c r="AF143" i="1"/>
  <c r="AE143" i="1"/>
  <c r="AD143" i="1"/>
  <c r="W143" i="1"/>
  <c r="V143" i="1"/>
  <c r="U143" i="1"/>
  <c r="T143" i="1"/>
  <c r="M143" i="1"/>
  <c r="N143" i="1" s="1"/>
  <c r="J143" i="1"/>
  <c r="H143" i="1"/>
  <c r="G143" i="1"/>
  <c r="F143" i="1"/>
  <c r="E143" i="1"/>
  <c r="AF142" i="1"/>
  <c r="AE142" i="1"/>
  <c r="AD142" i="1"/>
  <c r="W142" i="1"/>
  <c r="V142" i="1"/>
  <c r="U142" i="1"/>
  <c r="T142" i="1"/>
  <c r="M142" i="1"/>
  <c r="N142" i="1" s="1"/>
  <c r="J142" i="1"/>
  <c r="H142" i="1"/>
  <c r="G142" i="1"/>
  <c r="F142" i="1"/>
  <c r="E142" i="1"/>
  <c r="AF141" i="1"/>
  <c r="AE141" i="1"/>
  <c r="AD141" i="1"/>
  <c r="W141" i="1"/>
  <c r="V141" i="1"/>
  <c r="U141" i="1"/>
  <c r="T141" i="1"/>
  <c r="M141" i="1"/>
  <c r="N141" i="1" s="1"/>
  <c r="J141" i="1"/>
  <c r="H141" i="1"/>
  <c r="G141" i="1"/>
  <c r="F141" i="1"/>
  <c r="E141" i="1"/>
  <c r="AF140" i="1"/>
  <c r="AE140" i="1"/>
  <c r="AD140" i="1"/>
  <c r="W140" i="1"/>
  <c r="V140" i="1"/>
  <c r="U140" i="1"/>
  <c r="T140" i="1"/>
  <c r="M140" i="1"/>
  <c r="N140" i="1" s="1"/>
  <c r="J140" i="1"/>
  <c r="H140" i="1"/>
  <c r="G140" i="1"/>
  <c r="F140" i="1"/>
  <c r="E140" i="1"/>
  <c r="AF139" i="1"/>
  <c r="AE139" i="1"/>
  <c r="AD139" i="1"/>
  <c r="W139" i="1"/>
  <c r="V139" i="1"/>
  <c r="U139" i="1"/>
  <c r="T139" i="1"/>
  <c r="M139" i="1"/>
  <c r="N139" i="1" s="1"/>
  <c r="J139" i="1"/>
  <c r="H139" i="1"/>
  <c r="G139" i="1"/>
  <c r="F139" i="1"/>
  <c r="E139" i="1"/>
  <c r="AF138" i="1"/>
  <c r="AE138" i="1"/>
  <c r="AD138" i="1"/>
  <c r="W138" i="1"/>
  <c r="V138" i="1"/>
  <c r="U138" i="1"/>
  <c r="T138" i="1"/>
  <c r="M138" i="1"/>
  <c r="N138" i="1" s="1"/>
  <c r="J138" i="1"/>
  <c r="H138" i="1"/>
  <c r="G138" i="1"/>
  <c r="F138" i="1"/>
  <c r="E138" i="1"/>
  <c r="AF137" i="1"/>
  <c r="AE137" i="1"/>
  <c r="AD137" i="1"/>
  <c r="W137" i="1"/>
  <c r="V137" i="1"/>
  <c r="U137" i="1"/>
  <c r="T137" i="1"/>
  <c r="M137" i="1"/>
  <c r="N137" i="1" s="1"/>
  <c r="J137" i="1"/>
  <c r="H137" i="1"/>
  <c r="G137" i="1"/>
  <c r="F137" i="1"/>
  <c r="E137" i="1"/>
  <c r="AF136" i="1"/>
  <c r="AE136" i="1"/>
  <c r="AD136" i="1"/>
  <c r="W136" i="1"/>
  <c r="V136" i="1"/>
  <c r="U136" i="1"/>
  <c r="T136" i="1"/>
  <c r="M136" i="1"/>
  <c r="N136" i="1" s="1"/>
  <c r="J136" i="1"/>
  <c r="H136" i="1"/>
  <c r="G136" i="1"/>
  <c r="F136" i="1"/>
  <c r="E136" i="1"/>
  <c r="AF135" i="1"/>
  <c r="AE135" i="1"/>
  <c r="AD135" i="1"/>
  <c r="W135" i="1"/>
  <c r="V135" i="1"/>
  <c r="U135" i="1"/>
  <c r="T135" i="1"/>
  <c r="M135" i="1"/>
  <c r="N135" i="1" s="1"/>
  <c r="J135" i="1"/>
  <c r="H135" i="1"/>
  <c r="G135" i="1"/>
  <c r="F135" i="1"/>
  <c r="E135" i="1"/>
  <c r="AF134" i="1"/>
  <c r="AE134" i="1"/>
  <c r="AD134" i="1"/>
  <c r="W134" i="1"/>
  <c r="V134" i="1"/>
  <c r="U134" i="1"/>
  <c r="T134" i="1"/>
  <c r="M134" i="1"/>
  <c r="N134" i="1" s="1"/>
  <c r="J134" i="1"/>
  <c r="H134" i="1"/>
  <c r="G134" i="1"/>
  <c r="F134" i="1"/>
  <c r="E134" i="1"/>
  <c r="AF133" i="1"/>
  <c r="AE133" i="1"/>
  <c r="AD133" i="1"/>
  <c r="W133" i="1"/>
  <c r="V133" i="1"/>
  <c r="U133" i="1"/>
  <c r="T133" i="1"/>
  <c r="M133" i="1"/>
  <c r="N133" i="1" s="1"/>
  <c r="J133" i="1"/>
  <c r="H133" i="1"/>
  <c r="G133" i="1"/>
  <c r="F133" i="1"/>
  <c r="E133" i="1"/>
  <c r="AF132" i="1"/>
  <c r="AE132" i="1"/>
  <c r="AD132" i="1"/>
  <c r="W132" i="1"/>
  <c r="V132" i="1"/>
  <c r="U132" i="1"/>
  <c r="T132" i="1"/>
  <c r="M132" i="1"/>
  <c r="N132" i="1" s="1"/>
  <c r="J132" i="1"/>
  <c r="H132" i="1"/>
  <c r="G132" i="1"/>
  <c r="F132" i="1"/>
  <c r="E132" i="1"/>
  <c r="AF131" i="1"/>
  <c r="AE131" i="1"/>
  <c r="AD131" i="1"/>
  <c r="W131" i="1"/>
  <c r="V131" i="1"/>
  <c r="U131" i="1"/>
  <c r="T131" i="1"/>
  <c r="N131" i="1"/>
  <c r="M131" i="1"/>
  <c r="J131" i="1"/>
  <c r="H131" i="1"/>
  <c r="G131" i="1"/>
  <c r="F131" i="1"/>
  <c r="E131" i="1"/>
  <c r="AF130" i="1"/>
  <c r="AE130" i="1"/>
  <c r="AD130" i="1"/>
  <c r="W130" i="1"/>
  <c r="V130" i="1"/>
  <c r="U130" i="1"/>
  <c r="T130" i="1"/>
  <c r="M130" i="1"/>
  <c r="N130" i="1" s="1"/>
  <c r="J130" i="1"/>
  <c r="H130" i="1"/>
  <c r="G130" i="1"/>
  <c r="F130" i="1"/>
  <c r="E130" i="1"/>
  <c r="AF129" i="1"/>
  <c r="AE129" i="1"/>
  <c r="AD129" i="1"/>
  <c r="W129" i="1"/>
  <c r="V129" i="1"/>
  <c r="U129" i="1"/>
  <c r="T129" i="1"/>
  <c r="M129" i="1"/>
  <c r="N129" i="1" s="1"/>
  <c r="J129" i="1"/>
  <c r="H129" i="1"/>
  <c r="G129" i="1"/>
  <c r="F129" i="1"/>
  <c r="E129" i="1"/>
  <c r="AF128" i="1"/>
  <c r="AE128" i="1"/>
  <c r="AD128" i="1"/>
  <c r="W128" i="1"/>
  <c r="V128" i="1"/>
  <c r="U128" i="1"/>
  <c r="T128" i="1"/>
  <c r="M128" i="1"/>
  <c r="N128" i="1" s="1"/>
  <c r="J128" i="1"/>
  <c r="H128" i="1"/>
  <c r="G128" i="1"/>
  <c r="F128" i="1"/>
  <c r="E128" i="1"/>
  <c r="AF127" i="1"/>
  <c r="AE127" i="1"/>
  <c r="AD127" i="1"/>
  <c r="W127" i="1"/>
  <c r="V127" i="1"/>
  <c r="U127" i="1"/>
  <c r="T127" i="1"/>
  <c r="M127" i="1"/>
  <c r="N127" i="1" s="1"/>
  <c r="J127" i="1"/>
  <c r="H127" i="1"/>
  <c r="G127" i="1"/>
  <c r="F127" i="1"/>
  <c r="E127" i="1"/>
  <c r="AF126" i="1"/>
  <c r="AE126" i="1"/>
  <c r="AD126" i="1"/>
  <c r="W126" i="1"/>
  <c r="V126" i="1"/>
  <c r="U126" i="1"/>
  <c r="T126" i="1"/>
  <c r="M126" i="1"/>
  <c r="N126" i="1" s="1"/>
  <c r="J126" i="1"/>
  <c r="H126" i="1"/>
  <c r="G126" i="1"/>
  <c r="F126" i="1"/>
  <c r="E126" i="1"/>
  <c r="AF125" i="1"/>
  <c r="AE125" i="1"/>
  <c r="AD125" i="1"/>
  <c r="W125" i="1"/>
  <c r="V125" i="1"/>
  <c r="U125" i="1"/>
  <c r="T125" i="1"/>
  <c r="M125" i="1"/>
  <c r="N125" i="1" s="1"/>
  <c r="J125" i="1"/>
  <c r="H125" i="1"/>
  <c r="G125" i="1"/>
  <c r="F125" i="1"/>
  <c r="E125" i="1"/>
  <c r="AF124" i="1"/>
  <c r="AE124" i="1"/>
  <c r="AD124" i="1"/>
  <c r="W124" i="1"/>
  <c r="V124" i="1"/>
  <c r="U124" i="1"/>
  <c r="T124" i="1"/>
  <c r="M124" i="1"/>
  <c r="N124" i="1" s="1"/>
  <c r="J124" i="1"/>
  <c r="H124" i="1"/>
  <c r="G124" i="1"/>
  <c r="F124" i="1"/>
  <c r="E124" i="1"/>
  <c r="AF123" i="1"/>
  <c r="AE123" i="1"/>
  <c r="AD123" i="1"/>
  <c r="W123" i="1"/>
  <c r="V123" i="1"/>
  <c r="U123" i="1"/>
  <c r="T123" i="1"/>
  <c r="M123" i="1"/>
  <c r="N123" i="1" s="1"/>
  <c r="J123" i="1"/>
  <c r="H123" i="1"/>
  <c r="G123" i="1"/>
  <c r="F123" i="1"/>
  <c r="E123" i="1"/>
  <c r="AF122" i="1"/>
  <c r="AE122" i="1"/>
  <c r="AD122" i="1"/>
  <c r="W122" i="1"/>
  <c r="V122" i="1"/>
  <c r="U122" i="1"/>
  <c r="T122" i="1"/>
  <c r="M122" i="1"/>
  <c r="N122" i="1" s="1"/>
  <c r="J122" i="1"/>
  <c r="H122" i="1"/>
  <c r="G122" i="1"/>
  <c r="F122" i="1"/>
  <c r="E122" i="1"/>
  <c r="AF121" i="1"/>
  <c r="AE121" i="1"/>
  <c r="AD121" i="1"/>
  <c r="W121" i="1"/>
  <c r="V121" i="1"/>
  <c r="U121" i="1"/>
  <c r="T121" i="1"/>
  <c r="M121" i="1"/>
  <c r="N121" i="1" s="1"/>
  <c r="J121" i="1"/>
  <c r="H121" i="1"/>
  <c r="G121" i="1"/>
  <c r="F121" i="1"/>
  <c r="E121" i="1"/>
  <c r="AF120" i="1"/>
  <c r="AE120" i="1"/>
  <c r="AD120" i="1"/>
  <c r="W120" i="1"/>
  <c r="V120" i="1"/>
  <c r="U120" i="1"/>
  <c r="T120" i="1"/>
  <c r="M120" i="1"/>
  <c r="N120" i="1" s="1"/>
  <c r="J120" i="1"/>
  <c r="H120" i="1"/>
  <c r="G120" i="1"/>
  <c r="F120" i="1"/>
  <c r="E120" i="1"/>
  <c r="AF119" i="1"/>
  <c r="AE119" i="1"/>
  <c r="AD119" i="1"/>
  <c r="W119" i="1"/>
  <c r="V119" i="1"/>
  <c r="U119" i="1"/>
  <c r="T119" i="1"/>
  <c r="N119" i="1"/>
  <c r="M119" i="1"/>
  <c r="J119" i="1"/>
  <c r="H119" i="1"/>
  <c r="G119" i="1"/>
  <c r="F119" i="1"/>
  <c r="E119" i="1"/>
  <c r="AF118" i="1"/>
  <c r="AE118" i="1"/>
  <c r="AD118" i="1"/>
  <c r="W118" i="1"/>
  <c r="V118" i="1"/>
  <c r="U118" i="1"/>
  <c r="T118" i="1"/>
  <c r="M118" i="1"/>
  <c r="N118" i="1" s="1"/>
  <c r="J118" i="1"/>
  <c r="H118" i="1"/>
  <c r="G118" i="1"/>
  <c r="F118" i="1"/>
  <c r="E118" i="1"/>
  <c r="AF117" i="1"/>
  <c r="AE117" i="1"/>
  <c r="AD117" i="1"/>
  <c r="W117" i="1"/>
  <c r="V117" i="1"/>
  <c r="U117" i="1"/>
  <c r="T117" i="1"/>
  <c r="M117" i="1"/>
  <c r="N117" i="1" s="1"/>
  <c r="J117" i="1"/>
  <c r="H117" i="1"/>
  <c r="G117" i="1"/>
  <c r="F117" i="1"/>
  <c r="E117" i="1"/>
  <c r="AF116" i="1"/>
  <c r="AE116" i="1"/>
  <c r="AD116" i="1"/>
  <c r="W116" i="1"/>
  <c r="V116" i="1"/>
  <c r="U116" i="1"/>
  <c r="T116" i="1"/>
  <c r="M116" i="1"/>
  <c r="N116" i="1" s="1"/>
  <c r="J116" i="1"/>
  <c r="H116" i="1"/>
  <c r="G116" i="1"/>
  <c r="F116" i="1"/>
  <c r="E116" i="1"/>
  <c r="AF115" i="1"/>
  <c r="AE115" i="1"/>
  <c r="AD115" i="1"/>
  <c r="W115" i="1"/>
  <c r="V115" i="1"/>
  <c r="U115" i="1"/>
  <c r="T115" i="1"/>
  <c r="M115" i="1"/>
  <c r="N115" i="1" s="1"/>
  <c r="J115" i="1"/>
  <c r="H115" i="1"/>
  <c r="G115" i="1"/>
  <c r="F115" i="1"/>
  <c r="E115" i="1"/>
  <c r="AF114" i="1"/>
  <c r="AE114" i="1"/>
  <c r="AD114" i="1"/>
  <c r="W114" i="1"/>
  <c r="V114" i="1"/>
  <c r="U114" i="1"/>
  <c r="T114" i="1"/>
  <c r="M114" i="1"/>
  <c r="N114" i="1" s="1"/>
  <c r="J114" i="1"/>
  <c r="H114" i="1"/>
  <c r="G114" i="1"/>
  <c r="F114" i="1"/>
  <c r="E114" i="1"/>
  <c r="AF113" i="1"/>
  <c r="AE113" i="1"/>
  <c r="AD113" i="1"/>
  <c r="W113" i="1"/>
  <c r="V113" i="1"/>
  <c r="U113" i="1"/>
  <c r="T113" i="1"/>
  <c r="M113" i="1"/>
  <c r="N113" i="1" s="1"/>
  <c r="J113" i="1"/>
  <c r="H113" i="1"/>
  <c r="G113" i="1"/>
  <c r="F113" i="1"/>
  <c r="E113" i="1"/>
  <c r="AF112" i="1"/>
  <c r="AE112" i="1"/>
  <c r="AD112" i="1"/>
  <c r="W112" i="1"/>
  <c r="V112" i="1"/>
  <c r="U112" i="1"/>
  <c r="T112" i="1"/>
  <c r="M112" i="1"/>
  <c r="N112" i="1" s="1"/>
  <c r="J112" i="1"/>
  <c r="H112" i="1"/>
  <c r="G112" i="1"/>
  <c r="F112" i="1"/>
  <c r="E112" i="1"/>
  <c r="AF111" i="1"/>
  <c r="AE111" i="1"/>
  <c r="AD111" i="1"/>
  <c r="W111" i="1"/>
  <c r="V111" i="1"/>
  <c r="U111" i="1"/>
  <c r="T111" i="1"/>
  <c r="M111" i="1"/>
  <c r="N111" i="1" s="1"/>
  <c r="J111" i="1"/>
  <c r="H111" i="1"/>
  <c r="G111" i="1"/>
  <c r="F111" i="1"/>
  <c r="E111" i="1"/>
  <c r="AF110" i="1"/>
  <c r="AE110" i="1"/>
  <c r="AD110" i="1"/>
  <c r="W110" i="1"/>
  <c r="V110" i="1"/>
  <c r="U110" i="1"/>
  <c r="T110" i="1"/>
  <c r="M110" i="1"/>
  <c r="N110" i="1" s="1"/>
  <c r="J110" i="1"/>
  <c r="H110" i="1"/>
  <c r="G110" i="1"/>
  <c r="F110" i="1"/>
  <c r="E110" i="1"/>
  <c r="AF109" i="1"/>
  <c r="AE109" i="1"/>
  <c r="AD109" i="1"/>
  <c r="W109" i="1"/>
  <c r="V109" i="1"/>
  <c r="U109" i="1"/>
  <c r="T109" i="1"/>
  <c r="M109" i="1"/>
  <c r="N109" i="1" s="1"/>
  <c r="J109" i="1"/>
  <c r="H109" i="1"/>
  <c r="G109" i="1"/>
  <c r="F109" i="1"/>
  <c r="E109" i="1"/>
  <c r="AF108" i="1"/>
  <c r="AE108" i="1"/>
  <c r="AD108" i="1"/>
  <c r="W108" i="1"/>
  <c r="V108" i="1"/>
  <c r="U108" i="1"/>
  <c r="T108" i="1"/>
  <c r="M108" i="1"/>
  <c r="N108" i="1" s="1"/>
  <c r="J108" i="1"/>
  <c r="H108" i="1"/>
  <c r="G108" i="1"/>
  <c r="F108" i="1"/>
  <c r="E108" i="1"/>
  <c r="AF107" i="1"/>
  <c r="AE107" i="1"/>
  <c r="AD107" i="1"/>
  <c r="W107" i="1"/>
  <c r="V107" i="1"/>
  <c r="U107" i="1"/>
  <c r="T107" i="1"/>
  <c r="M107" i="1"/>
  <c r="N107" i="1" s="1"/>
  <c r="J107" i="1"/>
  <c r="H107" i="1"/>
  <c r="G107" i="1"/>
  <c r="F107" i="1"/>
  <c r="E107" i="1"/>
  <c r="AF106" i="1"/>
  <c r="AE106" i="1"/>
  <c r="AD106" i="1"/>
  <c r="W106" i="1"/>
  <c r="V106" i="1"/>
  <c r="U106" i="1"/>
  <c r="T106" i="1"/>
  <c r="M106" i="1"/>
  <c r="N106" i="1" s="1"/>
  <c r="J106" i="1"/>
  <c r="H106" i="1"/>
  <c r="G106" i="1"/>
  <c r="F106" i="1"/>
  <c r="E106" i="1"/>
  <c r="AF105" i="1"/>
  <c r="AE105" i="1"/>
  <c r="AD105" i="1"/>
  <c r="W105" i="1"/>
  <c r="V105" i="1"/>
  <c r="U105" i="1"/>
  <c r="T105" i="1"/>
  <c r="M105" i="1"/>
  <c r="N105" i="1" s="1"/>
  <c r="J105" i="1"/>
  <c r="H105" i="1"/>
  <c r="G105" i="1"/>
  <c r="F105" i="1"/>
  <c r="E105" i="1"/>
  <c r="AF104" i="1"/>
  <c r="AE104" i="1"/>
  <c r="AD104" i="1"/>
  <c r="W104" i="1"/>
  <c r="V104" i="1"/>
  <c r="U104" i="1"/>
  <c r="T104" i="1"/>
  <c r="M104" i="1"/>
  <c r="N104" i="1" s="1"/>
  <c r="J104" i="1"/>
  <c r="H104" i="1"/>
  <c r="G104" i="1"/>
  <c r="F104" i="1"/>
  <c r="E104" i="1"/>
  <c r="AF103" i="1"/>
  <c r="AE103" i="1"/>
  <c r="AD103" i="1"/>
  <c r="W103" i="1"/>
  <c r="V103" i="1"/>
  <c r="U103" i="1"/>
  <c r="T103" i="1"/>
  <c r="M103" i="1"/>
  <c r="N103" i="1" s="1"/>
  <c r="J103" i="1"/>
  <c r="H103" i="1"/>
  <c r="G103" i="1"/>
  <c r="F103" i="1"/>
  <c r="E103" i="1"/>
  <c r="AF102" i="1"/>
  <c r="AE102" i="1"/>
  <c r="AD102" i="1"/>
  <c r="W102" i="1"/>
  <c r="V102" i="1"/>
  <c r="U102" i="1"/>
  <c r="T102" i="1"/>
  <c r="M102" i="1"/>
  <c r="N102" i="1" s="1"/>
  <c r="J102" i="1"/>
  <c r="H102" i="1"/>
  <c r="G102" i="1"/>
  <c r="F102" i="1"/>
  <c r="E102" i="1"/>
  <c r="AF101" i="1"/>
  <c r="AE101" i="1"/>
  <c r="AD101" i="1"/>
  <c r="W101" i="1"/>
  <c r="V101" i="1"/>
  <c r="U101" i="1"/>
  <c r="T101" i="1"/>
  <c r="M101" i="1"/>
  <c r="N101" i="1" s="1"/>
  <c r="J101" i="1"/>
  <c r="H101" i="1"/>
  <c r="G101" i="1"/>
  <c r="F101" i="1"/>
  <c r="E101" i="1"/>
  <c r="AF100" i="1"/>
  <c r="AE100" i="1"/>
  <c r="AD100" i="1"/>
  <c r="W100" i="1"/>
  <c r="V100" i="1"/>
  <c r="U100" i="1"/>
  <c r="T100" i="1"/>
  <c r="M100" i="1"/>
  <c r="N100" i="1" s="1"/>
  <c r="J100" i="1"/>
  <c r="H100" i="1"/>
  <c r="G100" i="1"/>
  <c r="F100" i="1"/>
  <c r="E100" i="1"/>
  <c r="AF99" i="1"/>
  <c r="AE99" i="1"/>
  <c r="AD99" i="1"/>
  <c r="W99" i="1"/>
  <c r="V99" i="1"/>
  <c r="U99" i="1"/>
  <c r="T99" i="1"/>
  <c r="M99" i="1"/>
  <c r="N99" i="1" s="1"/>
  <c r="J99" i="1"/>
  <c r="H99" i="1"/>
  <c r="G99" i="1"/>
  <c r="F99" i="1"/>
  <c r="E99" i="1"/>
  <c r="AF98" i="1"/>
  <c r="AE98" i="1"/>
  <c r="AD98" i="1"/>
  <c r="W98" i="1"/>
  <c r="V98" i="1"/>
  <c r="U98" i="1"/>
  <c r="T98" i="1"/>
  <c r="M98" i="1"/>
  <c r="N98" i="1" s="1"/>
  <c r="J98" i="1"/>
  <c r="H98" i="1"/>
  <c r="G98" i="1"/>
  <c r="F98" i="1"/>
  <c r="E98" i="1"/>
  <c r="AF97" i="1"/>
  <c r="AE97" i="1"/>
  <c r="AD97" i="1"/>
  <c r="W97" i="1"/>
  <c r="V97" i="1"/>
  <c r="U97" i="1"/>
  <c r="T97" i="1"/>
  <c r="M97" i="1"/>
  <c r="N97" i="1" s="1"/>
  <c r="J97" i="1"/>
  <c r="H97" i="1"/>
  <c r="G97" i="1"/>
  <c r="F97" i="1"/>
  <c r="E97" i="1"/>
  <c r="AF96" i="1"/>
  <c r="AE96" i="1"/>
  <c r="AD96" i="1"/>
  <c r="W96" i="1"/>
  <c r="V96" i="1"/>
  <c r="U96" i="1"/>
  <c r="T96" i="1"/>
  <c r="M96" i="1"/>
  <c r="N96" i="1" s="1"/>
  <c r="J96" i="1"/>
  <c r="H96" i="1"/>
  <c r="G96" i="1"/>
  <c r="F96" i="1"/>
  <c r="E96" i="1"/>
  <c r="AF95" i="1"/>
  <c r="AE95" i="1"/>
  <c r="AD95" i="1"/>
  <c r="W95" i="1"/>
  <c r="V95" i="1"/>
  <c r="U95" i="1"/>
  <c r="T95" i="1"/>
  <c r="M95" i="1"/>
  <c r="N95" i="1" s="1"/>
  <c r="J95" i="1"/>
  <c r="H95" i="1"/>
  <c r="G95" i="1"/>
  <c r="F95" i="1"/>
  <c r="E95" i="1"/>
  <c r="AF94" i="1"/>
  <c r="AE94" i="1"/>
  <c r="AD94" i="1"/>
  <c r="W94" i="1"/>
  <c r="V94" i="1"/>
  <c r="U94" i="1"/>
  <c r="T94" i="1"/>
  <c r="M94" i="1"/>
  <c r="N94" i="1" s="1"/>
  <c r="J94" i="1"/>
  <c r="H94" i="1"/>
  <c r="G94" i="1"/>
  <c r="F94" i="1"/>
  <c r="E94" i="1"/>
  <c r="AF93" i="1"/>
  <c r="AE93" i="1"/>
  <c r="AD93" i="1"/>
  <c r="W93" i="1"/>
  <c r="V93" i="1"/>
  <c r="U93" i="1"/>
  <c r="T93" i="1"/>
  <c r="M93" i="1"/>
  <c r="N93" i="1" s="1"/>
  <c r="J93" i="1"/>
  <c r="H93" i="1"/>
  <c r="G93" i="1"/>
  <c r="F93" i="1"/>
  <c r="E93" i="1"/>
  <c r="AF92" i="1"/>
  <c r="AE92" i="1"/>
  <c r="AD92" i="1"/>
  <c r="W92" i="1"/>
  <c r="V92" i="1"/>
  <c r="U92" i="1"/>
  <c r="T92" i="1"/>
  <c r="M92" i="1"/>
  <c r="N92" i="1" s="1"/>
  <c r="J92" i="1"/>
  <c r="H92" i="1"/>
  <c r="G92" i="1"/>
  <c r="F92" i="1"/>
  <c r="E92" i="1"/>
  <c r="AF91" i="1"/>
  <c r="AE91" i="1"/>
  <c r="AD91" i="1"/>
  <c r="W91" i="1"/>
  <c r="V91" i="1"/>
  <c r="U91" i="1"/>
  <c r="T91" i="1"/>
  <c r="M91" i="1"/>
  <c r="N91" i="1" s="1"/>
  <c r="J91" i="1"/>
  <c r="H91" i="1"/>
  <c r="G91" i="1"/>
  <c r="F91" i="1"/>
  <c r="E91" i="1"/>
  <c r="AF90" i="1"/>
  <c r="AE90" i="1"/>
  <c r="AD90" i="1"/>
  <c r="W90" i="1"/>
  <c r="V90" i="1"/>
  <c r="U90" i="1"/>
  <c r="T90" i="1"/>
  <c r="M90" i="1"/>
  <c r="N90" i="1" s="1"/>
  <c r="J90" i="1"/>
  <c r="H90" i="1"/>
  <c r="G90" i="1"/>
  <c r="F90" i="1"/>
  <c r="E90" i="1"/>
  <c r="AF89" i="1"/>
  <c r="AE89" i="1"/>
  <c r="AD89" i="1"/>
  <c r="W89" i="1"/>
  <c r="V89" i="1"/>
  <c r="U89" i="1"/>
  <c r="T89" i="1"/>
  <c r="M89" i="1"/>
  <c r="N89" i="1" s="1"/>
  <c r="J89" i="1"/>
  <c r="H89" i="1"/>
  <c r="G89" i="1"/>
  <c r="F89" i="1"/>
  <c r="E89" i="1"/>
  <c r="AF88" i="1"/>
  <c r="AE88" i="1"/>
  <c r="AD88" i="1"/>
  <c r="W88" i="1"/>
  <c r="V88" i="1"/>
  <c r="U88" i="1"/>
  <c r="T88" i="1"/>
  <c r="M88" i="1"/>
  <c r="N88" i="1" s="1"/>
  <c r="J88" i="1"/>
  <c r="H88" i="1"/>
  <c r="G88" i="1"/>
  <c r="F88" i="1"/>
  <c r="E88" i="1"/>
  <c r="AF87" i="1"/>
  <c r="AE87" i="1"/>
  <c r="AD87" i="1"/>
  <c r="W87" i="1"/>
  <c r="V87" i="1"/>
  <c r="U87" i="1"/>
  <c r="T87" i="1"/>
  <c r="M87" i="1"/>
  <c r="N87" i="1" s="1"/>
  <c r="J87" i="1"/>
  <c r="H87" i="1"/>
  <c r="G87" i="1"/>
  <c r="F87" i="1"/>
  <c r="E87" i="1"/>
  <c r="AF86" i="1"/>
  <c r="AE86" i="1"/>
  <c r="AD86" i="1"/>
  <c r="W86" i="1"/>
  <c r="V86" i="1"/>
  <c r="U86" i="1"/>
  <c r="T86" i="1"/>
  <c r="M86" i="1"/>
  <c r="N86" i="1" s="1"/>
  <c r="J86" i="1"/>
  <c r="H86" i="1"/>
  <c r="G86" i="1"/>
  <c r="F86" i="1"/>
  <c r="E86" i="1"/>
  <c r="AF85" i="1"/>
  <c r="AE85" i="1"/>
  <c r="AD85" i="1"/>
  <c r="W85" i="1"/>
  <c r="V85" i="1"/>
  <c r="U85" i="1"/>
  <c r="T85" i="1"/>
  <c r="M85" i="1"/>
  <c r="N85" i="1" s="1"/>
  <c r="J85" i="1"/>
  <c r="H85" i="1"/>
  <c r="G85" i="1"/>
  <c r="F85" i="1"/>
  <c r="E85" i="1"/>
  <c r="AF84" i="1"/>
  <c r="AE84" i="1"/>
  <c r="AD84" i="1"/>
  <c r="W84" i="1"/>
  <c r="V84" i="1"/>
  <c r="U84" i="1"/>
  <c r="T84" i="1"/>
  <c r="M84" i="1"/>
  <c r="N84" i="1" s="1"/>
  <c r="J84" i="1"/>
  <c r="H84" i="1"/>
  <c r="G84" i="1"/>
  <c r="F84" i="1"/>
  <c r="E84" i="1"/>
  <c r="AF83" i="1"/>
  <c r="AE83" i="1"/>
  <c r="AD83" i="1"/>
  <c r="W83" i="1"/>
  <c r="V83" i="1"/>
  <c r="U83" i="1"/>
  <c r="T83" i="1"/>
  <c r="N83" i="1"/>
  <c r="M83" i="1"/>
  <c r="J83" i="1"/>
  <c r="H83" i="1"/>
  <c r="G83" i="1"/>
  <c r="F83" i="1"/>
  <c r="E83" i="1"/>
  <c r="AF82" i="1"/>
  <c r="AE82" i="1"/>
  <c r="AD82" i="1"/>
  <c r="W82" i="1"/>
  <c r="V82" i="1"/>
  <c r="U82" i="1"/>
  <c r="T82" i="1"/>
  <c r="M82" i="1"/>
  <c r="N82" i="1" s="1"/>
  <c r="J82" i="1"/>
  <c r="H82" i="1"/>
  <c r="G82" i="1"/>
  <c r="F82" i="1"/>
  <c r="E82" i="1"/>
  <c r="AF81" i="1"/>
  <c r="AE81" i="1"/>
  <c r="AD81" i="1"/>
  <c r="W81" i="1"/>
  <c r="V81" i="1"/>
  <c r="U81" i="1"/>
  <c r="T81" i="1"/>
  <c r="M81" i="1"/>
  <c r="N81" i="1" s="1"/>
  <c r="J81" i="1"/>
  <c r="H81" i="1"/>
  <c r="G81" i="1"/>
  <c r="F81" i="1"/>
  <c r="E81" i="1"/>
  <c r="AF80" i="1"/>
  <c r="AE80" i="1"/>
  <c r="AD80" i="1"/>
  <c r="W80" i="1"/>
  <c r="V80" i="1"/>
  <c r="U80" i="1"/>
  <c r="T80" i="1"/>
  <c r="M80" i="1"/>
  <c r="N80" i="1" s="1"/>
  <c r="J80" i="1"/>
  <c r="H80" i="1"/>
  <c r="G80" i="1"/>
  <c r="F80" i="1"/>
  <c r="E80" i="1"/>
  <c r="AF79" i="1"/>
  <c r="AE79" i="1"/>
  <c r="AD79" i="1"/>
  <c r="W79" i="1"/>
  <c r="V79" i="1"/>
  <c r="U79" i="1"/>
  <c r="T79" i="1"/>
  <c r="M79" i="1"/>
  <c r="N79" i="1" s="1"/>
  <c r="J79" i="1"/>
  <c r="H79" i="1"/>
  <c r="G79" i="1"/>
  <c r="F79" i="1"/>
  <c r="E79" i="1"/>
  <c r="AF78" i="1"/>
  <c r="AE78" i="1"/>
  <c r="AD78" i="1"/>
  <c r="W78" i="1"/>
  <c r="V78" i="1"/>
  <c r="U78" i="1"/>
  <c r="T78" i="1"/>
  <c r="M78" i="1"/>
  <c r="N78" i="1" s="1"/>
  <c r="J78" i="1"/>
  <c r="H78" i="1"/>
  <c r="G78" i="1"/>
  <c r="F78" i="1"/>
  <c r="E78" i="1"/>
  <c r="AF77" i="1"/>
  <c r="AE77" i="1"/>
  <c r="AD77" i="1"/>
  <c r="W77" i="1"/>
  <c r="V77" i="1"/>
  <c r="U77" i="1"/>
  <c r="T77" i="1"/>
  <c r="M77" i="1"/>
  <c r="N77" i="1" s="1"/>
  <c r="J77" i="1"/>
  <c r="H77" i="1"/>
  <c r="G77" i="1"/>
  <c r="F77" i="1"/>
  <c r="E77" i="1"/>
  <c r="AF76" i="1"/>
  <c r="AE76" i="1"/>
  <c r="AD76" i="1"/>
  <c r="W76" i="1"/>
  <c r="V76" i="1"/>
  <c r="U76" i="1"/>
  <c r="T76" i="1"/>
  <c r="M76" i="1"/>
  <c r="N76" i="1" s="1"/>
  <c r="J76" i="1"/>
  <c r="H76" i="1"/>
  <c r="G76" i="1"/>
  <c r="F76" i="1"/>
  <c r="E76" i="1"/>
  <c r="AF75" i="1"/>
  <c r="AE75" i="1"/>
  <c r="AD75" i="1"/>
  <c r="W75" i="1"/>
  <c r="V75" i="1"/>
  <c r="U75" i="1"/>
  <c r="T75" i="1"/>
  <c r="M75" i="1"/>
  <c r="N75" i="1" s="1"/>
  <c r="J75" i="1"/>
  <c r="H75" i="1"/>
  <c r="G75" i="1"/>
  <c r="F75" i="1"/>
  <c r="E75" i="1"/>
  <c r="AF74" i="1"/>
  <c r="AE74" i="1"/>
  <c r="AD74" i="1"/>
  <c r="W74" i="1"/>
  <c r="V74" i="1"/>
  <c r="U74" i="1"/>
  <c r="T74" i="1"/>
  <c r="M74" i="1"/>
  <c r="N74" i="1" s="1"/>
  <c r="J74" i="1"/>
  <c r="H74" i="1"/>
  <c r="G74" i="1"/>
  <c r="F74" i="1"/>
  <c r="E74" i="1"/>
  <c r="AF73" i="1"/>
  <c r="AE73" i="1"/>
  <c r="AD73" i="1"/>
  <c r="W73" i="1"/>
  <c r="V73" i="1"/>
  <c r="U73" i="1"/>
  <c r="T73" i="1"/>
  <c r="M73" i="1"/>
  <c r="N73" i="1" s="1"/>
  <c r="J73" i="1"/>
  <c r="H73" i="1"/>
  <c r="G73" i="1"/>
  <c r="F73" i="1"/>
  <c r="E73" i="1"/>
  <c r="AF72" i="1"/>
  <c r="AE72" i="1"/>
  <c r="AD72" i="1"/>
  <c r="W72" i="1"/>
  <c r="V72" i="1"/>
  <c r="U72" i="1"/>
  <c r="T72" i="1"/>
  <c r="M72" i="1"/>
  <c r="N72" i="1" s="1"/>
  <c r="J72" i="1"/>
  <c r="H72" i="1"/>
  <c r="G72" i="1"/>
  <c r="F72" i="1"/>
  <c r="E72" i="1"/>
  <c r="AF71" i="1"/>
  <c r="AE71" i="1"/>
  <c r="AD71" i="1"/>
  <c r="W71" i="1"/>
  <c r="V71" i="1"/>
  <c r="U71" i="1"/>
  <c r="T71" i="1"/>
  <c r="M71" i="1"/>
  <c r="N71" i="1" s="1"/>
  <c r="J71" i="1"/>
  <c r="H71" i="1"/>
  <c r="G71" i="1"/>
  <c r="F71" i="1"/>
  <c r="E71" i="1"/>
  <c r="AF70" i="1"/>
  <c r="AE70" i="1"/>
  <c r="AD70" i="1"/>
  <c r="W70" i="1"/>
  <c r="V70" i="1"/>
  <c r="U70" i="1"/>
  <c r="T70" i="1"/>
  <c r="M70" i="1"/>
  <c r="N70" i="1" s="1"/>
  <c r="J70" i="1"/>
  <c r="H70" i="1"/>
  <c r="G70" i="1"/>
  <c r="F70" i="1"/>
  <c r="E70" i="1"/>
  <c r="AF69" i="1"/>
  <c r="AE69" i="1"/>
  <c r="AD69" i="1"/>
  <c r="W69" i="1"/>
  <c r="V69" i="1"/>
  <c r="U69" i="1"/>
  <c r="T69" i="1"/>
  <c r="M69" i="1"/>
  <c r="N69" i="1" s="1"/>
  <c r="J69" i="1"/>
  <c r="H69" i="1"/>
  <c r="G69" i="1"/>
  <c r="F69" i="1"/>
  <c r="E69" i="1"/>
  <c r="AF68" i="1"/>
  <c r="AE68" i="1"/>
  <c r="AD68" i="1"/>
  <c r="W68" i="1"/>
  <c r="V68" i="1"/>
  <c r="U68" i="1"/>
  <c r="T68" i="1"/>
  <c r="M68" i="1"/>
  <c r="N68" i="1" s="1"/>
  <c r="J68" i="1"/>
  <c r="H68" i="1"/>
  <c r="G68" i="1"/>
  <c r="F68" i="1"/>
  <c r="E68" i="1"/>
  <c r="AF67" i="1"/>
  <c r="AE67" i="1"/>
  <c r="AD67" i="1"/>
  <c r="W67" i="1"/>
  <c r="V67" i="1"/>
  <c r="U67" i="1"/>
  <c r="T67" i="1"/>
  <c r="M67" i="1"/>
  <c r="N67" i="1" s="1"/>
  <c r="J67" i="1"/>
  <c r="H67" i="1"/>
  <c r="G67" i="1"/>
  <c r="F67" i="1"/>
  <c r="E67" i="1"/>
  <c r="AF66" i="1"/>
  <c r="AE66" i="1"/>
  <c r="AD66" i="1"/>
  <c r="W66" i="1"/>
  <c r="V66" i="1"/>
  <c r="U66" i="1"/>
  <c r="T66" i="1"/>
  <c r="M66" i="1"/>
  <c r="N66" i="1" s="1"/>
  <c r="J66" i="1"/>
  <c r="H66" i="1"/>
  <c r="G66" i="1"/>
  <c r="F66" i="1"/>
  <c r="E66" i="1"/>
  <c r="AF65" i="1"/>
  <c r="AE65" i="1"/>
  <c r="AD65" i="1"/>
  <c r="W65" i="1"/>
  <c r="V65" i="1"/>
  <c r="U65" i="1"/>
  <c r="T65" i="1"/>
  <c r="M65" i="1"/>
  <c r="N65" i="1" s="1"/>
  <c r="J65" i="1"/>
  <c r="H65" i="1"/>
  <c r="G65" i="1"/>
  <c r="F65" i="1"/>
  <c r="E65" i="1"/>
  <c r="AF64" i="1"/>
  <c r="AE64" i="1"/>
  <c r="AD64" i="1"/>
  <c r="W64" i="1"/>
  <c r="V64" i="1"/>
  <c r="U64" i="1"/>
  <c r="T64" i="1"/>
  <c r="M64" i="1"/>
  <c r="N64" i="1" s="1"/>
  <c r="J64" i="1"/>
  <c r="H64" i="1"/>
  <c r="G64" i="1"/>
  <c r="F64" i="1"/>
  <c r="E64" i="1"/>
  <c r="AF63" i="1"/>
  <c r="AE63" i="1"/>
  <c r="AD63" i="1"/>
  <c r="W63" i="1"/>
  <c r="V63" i="1"/>
  <c r="U63" i="1"/>
  <c r="T63" i="1"/>
  <c r="M63" i="1"/>
  <c r="N63" i="1" s="1"/>
  <c r="J63" i="1"/>
  <c r="H63" i="1"/>
  <c r="G63" i="1"/>
  <c r="F63" i="1"/>
  <c r="E63" i="1"/>
  <c r="AF62" i="1"/>
  <c r="AE62" i="1"/>
  <c r="AD62" i="1"/>
  <c r="W62" i="1"/>
  <c r="V62" i="1"/>
  <c r="U62" i="1"/>
  <c r="T62" i="1"/>
  <c r="M62" i="1"/>
  <c r="N62" i="1" s="1"/>
  <c r="J62" i="1"/>
  <c r="H62" i="1"/>
  <c r="G62" i="1"/>
  <c r="F62" i="1"/>
  <c r="E62" i="1"/>
  <c r="AF61" i="1"/>
  <c r="AE61" i="1"/>
  <c r="AD61" i="1"/>
  <c r="W61" i="1"/>
  <c r="V61" i="1"/>
  <c r="U61" i="1"/>
  <c r="T61" i="1"/>
  <c r="M61" i="1"/>
  <c r="N61" i="1" s="1"/>
  <c r="J61" i="1"/>
  <c r="H61" i="1"/>
  <c r="G61" i="1"/>
  <c r="F61" i="1"/>
  <c r="E61" i="1"/>
  <c r="AF60" i="1"/>
  <c r="AE60" i="1"/>
  <c r="AD60" i="1"/>
  <c r="W60" i="1"/>
  <c r="V60" i="1"/>
  <c r="U60" i="1"/>
  <c r="T60" i="1"/>
  <c r="M60" i="1"/>
  <c r="N60" i="1" s="1"/>
  <c r="J60" i="1"/>
  <c r="H60" i="1"/>
  <c r="G60" i="1"/>
  <c r="F60" i="1"/>
  <c r="E60" i="1"/>
  <c r="AF59" i="1"/>
  <c r="AE59" i="1"/>
  <c r="AD59" i="1"/>
  <c r="W59" i="1"/>
  <c r="V59" i="1"/>
  <c r="U59" i="1"/>
  <c r="T59" i="1"/>
  <c r="M59" i="1"/>
  <c r="N59" i="1" s="1"/>
  <c r="J59" i="1"/>
  <c r="H59" i="1"/>
  <c r="G59" i="1"/>
  <c r="F59" i="1"/>
  <c r="E59" i="1"/>
  <c r="AF58" i="1"/>
  <c r="AE58" i="1"/>
  <c r="AD58" i="1"/>
  <c r="W58" i="1"/>
  <c r="V58" i="1"/>
  <c r="U58" i="1"/>
  <c r="T58" i="1"/>
  <c r="M58" i="1"/>
  <c r="N58" i="1" s="1"/>
  <c r="J58" i="1"/>
  <c r="H58" i="1"/>
  <c r="G58" i="1"/>
  <c r="F58" i="1"/>
  <c r="E58" i="1"/>
  <c r="AF57" i="1"/>
  <c r="AE57" i="1"/>
  <c r="AD57" i="1"/>
  <c r="W57" i="1"/>
  <c r="V57" i="1"/>
  <c r="U57" i="1"/>
  <c r="T57" i="1"/>
  <c r="M57" i="1"/>
  <c r="N57" i="1" s="1"/>
  <c r="J57" i="1"/>
  <c r="H57" i="1"/>
  <c r="G57" i="1"/>
  <c r="F57" i="1"/>
  <c r="E57" i="1"/>
  <c r="AF56" i="1"/>
  <c r="AE56" i="1"/>
  <c r="AD56" i="1"/>
  <c r="W56" i="1"/>
  <c r="V56" i="1"/>
  <c r="U56" i="1"/>
  <c r="T56" i="1"/>
  <c r="M56" i="1"/>
  <c r="N56" i="1" s="1"/>
  <c r="J56" i="1"/>
  <c r="H56" i="1"/>
  <c r="G56" i="1"/>
  <c r="F56" i="1"/>
  <c r="E56" i="1"/>
  <c r="AF55" i="1"/>
  <c r="AE55" i="1"/>
  <c r="AD55" i="1"/>
  <c r="W55" i="1"/>
  <c r="V55" i="1"/>
  <c r="U55" i="1"/>
  <c r="T55" i="1"/>
  <c r="N55" i="1"/>
  <c r="M55" i="1"/>
  <c r="J55" i="1"/>
  <c r="H55" i="1"/>
  <c r="G55" i="1"/>
  <c r="F55" i="1"/>
  <c r="E55" i="1"/>
  <c r="AF54" i="1"/>
  <c r="AE54" i="1"/>
  <c r="AD54" i="1"/>
  <c r="W54" i="1"/>
  <c r="V54" i="1"/>
  <c r="U54" i="1"/>
  <c r="T54" i="1"/>
  <c r="M54" i="1"/>
  <c r="N54" i="1" s="1"/>
  <c r="J54" i="1"/>
  <c r="H54" i="1"/>
  <c r="G54" i="1"/>
  <c r="F54" i="1"/>
  <c r="E54" i="1"/>
  <c r="AF53" i="1"/>
  <c r="AE53" i="1"/>
  <c r="AD53" i="1"/>
  <c r="W53" i="1"/>
  <c r="V53" i="1"/>
  <c r="U53" i="1"/>
  <c r="T53" i="1"/>
  <c r="M53" i="1"/>
  <c r="N53" i="1" s="1"/>
  <c r="J53" i="1"/>
  <c r="H53" i="1"/>
  <c r="G53" i="1"/>
  <c r="F53" i="1"/>
  <c r="E53" i="1"/>
  <c r="AF52" i="1"/>
  <c r="AE52" i="1"/>
  <c r="AD52" i="1"/>
  <c r="W52" i="1"/>
  <c r="V52" i="1"/>
  <c r="U52" i="1"/>
  <c r="T52" i="1"/>
  <c r="M52" i="1"/>
  <c r="N52" i="1" s="1"/>
  <c r="J52" i="1"/>
  <c r="H52" i="1"/>
  <c r="G52" i="1"/>
  <c r="F52" i="1"/>
  <c r="E52" i="1"/>
  <c r="AF51" i="1"/>
  <c r="AE51" i="1"/>
  <c r="AD51" i="1"/>
  <c r="W51" i="1"/>
  <c r="V51" i="1"/>
  <c r="U51" i="1"/>
  <c r="T51" i="1"/>
  <c r="M51" i="1"/>
  <c r="N51" i="1" s="1"/>
  <c r="J51" i="1"/>
  <c r="H51" i="1"/>
  <c r="G51" i="1"/>
  <c r="F51" i="1"/>
  <c r="E51" i="1"/>
  <c r="AF50" i="1"/>
  <c r="AE50" i="1"/>
  <c r="AD50" i="1"/>
  <c r="W50" i="1"/>
  <c r="V50" i="1"/>
  <c r="U50" i="1"/>
  <c r="T50" i="1"/>
  <c r="M50" i="1"/>
  <c r="N50" i="1" s="1"/>
  <c r="J50" i="1"/>
  <c r="H50" i="1"/>
  <c r="G50" i="1"/>
  <c r="F50" i="1"/>
  <c r="E50" i="1"/>
  <c r="AF49" i="1"/>
  <c r="AE49" i="1"/>
  <c r="AD49" i="1"/>
  <c r="W49" i="1"/>
  <c r="V49" i="1"/>
  <c r="U49" i="1"/>
  <c r="T49" i="1"/>
  <c r="M49" i="1"/>
  <c r="N49" i="1" s="1"/>
  <c r="J49" i="1"/>
  <c r="H49" i="1"/>
  <c r="G49" i="1"/>
  <c r="F49" i="1"/>
  <c r="E49" i="1"/>
  <c r="AF48" i="1"/>
  <c r="AE48" i="1"/>
  <c r="AD48" i="1"/>
  <c r="W48" i="1"/>
  <c r="V48" i="1"/>
  <c r="U48" i="1"/>
  <c r="T48" i="1"/>
  <c r="M48" i="1"/>
  <c r="N48" i="1" s="1"/>
  <c r="J48" i="1"/>
  <c r="H48" i="1"/>
  <c r="G48" i="1"/>
  <c r="F48" i="1"/>
  <c r="E48" i="1"/>
  <c r="AF47" i="1"/>
  <c r="AE47" i="1"/>
  <c r="AD47" i="1"/>
  <c r="W47" i="1"/>
  <c r="V47" i="1"/>
  <c r="U47" i="1"/>
  <c r="T47" i="1"/>
  <c r="M47" i="1"/>
  <c r="N47" i="1" s="1"/>
  <c r="J47" i="1"/>
  <c r="H47" i="1"/>
  <c r="G47" i="1"/>
  <c r="F47" i="1"/>
  <c r="E47" i="1"/>
  <c r="AF46" i="1"/>
  <c r="AE46" i="1"/>
  <c r="AD46" i="1"/>
  <c r="W46" i="1"/>
  <c r="V46" i="1"/>
  <c r="U46" i="1"/>
  <c r="T46" i="1"/>
  <c r="M46" i="1"/>
  <c r="N46" i="1" s="1"/>
  <c r="J46" i="1"/>
  <c r="H46" i="1"/>
  <c r="G46" i="1"/>
  <c r="F46" i="1"/>
  <c r="E46" i="1"/>
  <c r="AF45" i="1"/>
  <c r="AE45" i="1"/>
  <c r="AD45" i="1"/>
  <c r="W45" i="1"/>
  <c r="V45" i="1"/>
  <c r="U45" i="1"/>
  <c r="T45" i="1"/>
  <c r="M45" i="1"/>
  <c r="N45" i="1" s="1"/>
  <c r="J45" i="1"/>
  <c r="H45" i="1"/>
  <c r="G45" i="1"/>
  <c r="F45" i="1"/>
  <c r="E45" i="1"/>
  <c r="AF44" i="1"/>
  <c r="AE44" i="1"/>
  <c r="AD44" i="1"/>
  <c r="W44" i="1"/>
  <c r="V44" i="1"/>
  <c r="U44" i="1"/>
  <c r="T44" i="1"/>
  <c r="M44" i="1"/>
  <c r="N44" i="1" s="1"/>
  <c r="J44" i="1"/>
  <c r="H44" i="1"/>
  <c r="G44" i="1"/>
  <c r="F44" i="1"/>
  <c r="E44" i="1"/>
  <c r="AF43" i="1"/>
  <c r="AE43" i="1"/>
  <c r="AD43" i="1"/>
  <c r="W43" i="1"/>
  <c r="V43" i="1"/>
  <c r="U43" i="1"/>
  <c r="T43" i="1"/>
  <c r="M43" i="1"/>
  <c r="N43" i="1" s="1"/>
  <c r="J43" i="1"/>
  <c r="H43" i="1"/>
  <c r="G43" i="1"/>
  <c r="F43" i="1"/>
  <c r="E43" i="1"/>
  <c r="AF42" i="1"/>
  <c r="AE42" i="1"/>
  <c r="AD42" i="1"/>
  <c r="W42" i="1"/>
  <c r="V42" i="1"/>
  <c r="U42" i="1"/>
  <c r="T42" i="1"/>
  <c r="M42" i="1"/>
  <c r="N42" i="1" s="1"/>
  <c r="J42" i="1"/>
  <c r="H42" i="1"/>
  <c r="G42" i="1"/>
  <c r="F42" i="1"/>
  <c r="E42" i="1"/>
  <c r="AF41" i="1"/>
  <c r="AE41" i="1"/>
  <c r="AD41" i="1"/>
  <c r="W41" i="1"/>
  <c r="V41" i="1"/>
  <c r="U41" i="1"/>
  <c r="T41" i="1"/>
  <c r="M41" i="1"/>
  <c r="N41" i="1" s="1"/>
  <c r="J41" i="1"/>
  <c r="H41" i="1"/>
  <c r="G41" i="1"/>
  <c r="F41" i="1"/>
  <c r="E41" i="1"/>
  <c r="AF40" i="1"/>
  <c r="AE40" i="1"/>
  <c r="AD40" i="1"/>
  <c r="W40" i="1"/>
  <c r="V40" i="1"/>
  <c r="U40" i="1"/>
  <c r="T40" i="1"/>
  <c r="M40" i="1"/>
  <c r="N40" i="1" s="1"/>
  <c r="J40" i="1"/>
  <c r="H40" i="1"/>
  <c r="G40" i="1"/>
  <c r="F40" i="1"/>
  <c r="E40" i="1"/>
  <c r="AF39" i="1"/>
  <c r="AE39" i="1"/>
  <c r="AD39" i="1"/>
  <c r="W39" i="1"/>
  <c r="V39" i="1"/>
  <c r="U39" i="1"/>
  <c r="T39" i="1"/>
  <c r="M39" i="1"/>
  <c r="N39" i="1" s="1"/>
  <c r="J39" i="1"/>
  <c r="H39" i="1"/>
  <c r="G39" i="1"/>
  <c r="F39" i="1"/>
  <c r="E39" i="1"/>
  <c r="AF38" i="1"/>
  <c r="AE38" i="1"/>
  <c r="AD38" i="1"/>
  <c r="W38" i="1"/>
  <c r="V38" i="1"/>
  <c r="U38" i="1"/>
  <c r="T38" i="1"/>
  <c r="M38" i="1"/>
  <c r="N38" i="1" s="1"/>
  <c r="J38" i="1"/>
  <c r="H38" i="1"/>
  <c r="G38" i="1"/>
  <c r="F38" i="1"/>
  <c r="E38" i="1"/>
  <c r="AF37" i="1"/>
  <c r="AE37" i="1"/>
  <c r="AD37" i="1"/>
  <c r="W37" i="1"/>
  <c r="V37" i="1"/>
  <c r="U37" i="1"/>
  <c r="T37" i="1"/>
  <c r="M37" i="1"/>
  <c r="N37" i="1" s="1"/>
  <c r="J37" i="1"/>
  <c r="H37" i="1"/>
  <c r="G37" i="1"/>
  <c r="F37" i="1"/>
  <c r="E37" i="1"/>
  <c r="AF36" i="1"/>
  <c r="AE36" i="1"/>
  <c r="AD36" i="1"/>
  <c r="W36" i="1"/>
  <c r="V36" i="1"/>
  <c r="U36" i="1"/>
  <c r="T36" i="1"/>
  <c r="M36" i="1"/>
  <c r="N36" i="1" s="1"/>
  <c r="J36" i="1"/>
  <c r="H36" i="1"/>
  <c r="G36" i="1"/>
  <c r="F36" i="1"/>
  <c r="E36" i="1"/>
  <c r="AF35" i="1"/>
  <c r="AE35" i="1"/>
  <c r="AD35" i="1"/>
  <c r="W35" i="1"/>
  <c r="V35" i="1"/>
  <c r="U35" i="1"/>
  <c r="T35" i="1"/>
  <c r="M35" i="1"/>
  <c r="N35" i="1" s="1"/>
  <c r="J35" i="1"/>
  <c r="H35" i="1"/>
  <c r="G35" i="1"/>
  <c r="F35" i="1"/>
  <c r="E35" i="1"/>
  <c r="AF34" i="1"/>
  <c r="AE34" i="1"/>
  <c r="AD34" i="1"/>
  <c r="W34" i="1"/>
  <c r="V34" i="1"/>
  <c r="U34" i="1"/>
  <c r="T34" i="1"/>
  <c r="M34" i="1"/>
  <c r="N34" i="1" s="1"/>
  <c r="J34" i="1"/>
  <c r="H34" i="1"/>
  <c r="G34" i="1"/>
  <c r="F34" i="1"/>
  <c r="E34" i="1"/>
  <c r="AF33" i="1"/>
  <c r="AE33" i="1"/>
  <c r="AD33" i="1"/>
  <c r="W33" i="1"/>
  <c r="V33" i="1"/>
  <c r="U33" i="1"/>
  <c r="T33" i="1"/>
  <c r="M33" i="1"/>
  <c r="N33" i="1" s="1"/>
  <c r="J33" i="1"/>
  <c r="H33" i="1"/>
  <c r="G33" i="1"/>
  <c r="F33" i="1"/>
  <c r="E33" i="1"/>
  <c r="AF32" i="1"/>
  <c r="AE32" i="1"/>
  <c r="AD32" i="1"/>
  <c r="W32" i="1"/>
  <c r="V32" i="1"/>
  <c r="U32" i="1"/>
  <c r="T32" i="1"/>
  <c r="M32" i="1"/>
  <c r="N32" i="1" s="1"/>
  <c r="J32" i="1"/>
  <c r="H32" i="1"/>
  <c r="G32" i="1"/>
  <c r="F32" i="1"/>
  <c r="E32" i="1"/>
  <c r="AF31" i="1"/>
  <c r="AE31" i="1"/>
  <c r="AD31" i="1"/>
  <c r="W31" i="1"/>
  <c r="V31" i="1"/>
  <c r="U31" i="1"/>
  <c r="T31" i="1"/>
  <c r="M31" i="1"/>
  <c r="N31" i="1" s="1"/>
  <c r="J31" i="1"/>
  <c r="H31" i="1"/>
  <c r="G31" i="1"/>
  <c r="F31" i="1"/>
  <c r="E31" i="1"/>
  <c r="AF30" i="1"/>
  <c r="AE30" i="1"/>
  <c r="AD30" i="1"/>
  <c r="W30" i="1"/>
  <c r="V30" i="1"/>
  <c r="U30" i="1"/>
  <c r="T30" i="1"/>
  <c r="M30" i="1"/>
  <c r="N30" i="1" s="1"/>
  <c r="J30" i="1"/>
  <c r="H30" i="1"/>
  <c r="G30" i="1"/>
  <c r="F30" i="1"/>
  <c r="E30" i="1"/>
  <c r="AF29" i="1"/>
  <c r="AE29" i="1"/>
  <c r="AD29" i="1"/>
  <c r="W29" i="1"/>
  <c r="V29" i="1"/>
  <c r="U29" i="1"/>
  <c r="T29" i="1"/>
  <c r="M29" i="1"/>
  <c r="N29" i="1" s="1"/>
  <c r="J29" i="1"/>
  <c r="H29" i="1"/>
  <c r="G29" i="1"/>
  <c r="F29" i="1"/>
  <c r="E29" i="1"/>
  <c r="AF28" i="1"/>
  <c r="AE28" i="1"/>
  <c r="AD28" i="1"/>
  <c r="W28" i="1"/>
  <c r="V28" i="1"/>
  <c r="U28" i="1"/>
  <c r="T28" i="1"/>
  <c r="M28" i="1"/>
  <c r="N28" i="1" s="1"/>
  <c r="J28" i="1"/>
  <c r="H28" i="1"/>
  <c r="G28" i="1"/>
  <c r="F28" i="1"/>
  <c r="E28" i="1"/>
  <c r="AF27" i="1"/>
  <c r="AE27" i="1"/>
  <c r="AD27" i="1"/>
  <c r="W27" i="1"/>
  <c r="V27" i="1"/>
  <c r="U27" i="1"/>
  <c r="T27" i="1"/>
  <c r="M27" i="1"/>
  <c r="N27" i="1" s="1"/>
  <c r="J27" i="1"/>
  <c r="H27" i="1"/>
  <c r="G27" i="1"/>
  <c r="F27" i="1"/>
  <c r="E27" i="1"/>
  <c r="AF26" i="1"/>
  <c r="AE26" i="1"/>
  <c r="AD26" i="1"/>
  <c r="W26" i="1"/>
  <c r="V26" i="1"/>
  <c r="U26" i="1"/>
  <c r="T26" i="1"/>
  <c r="M26" i="1"/>
  <c r="N26" i="1" s="1"/>
  <c r="J26" i="1"/>
  <c r="H26" i="1"/>
  <c r="G26" i="1"/>
  <c r="F26" i="1"/>
  <c r="E26" i="1"/>
  <c r="AF25" i="1"/>
  <c r="AE25" i="1"/>
  <c r="AD25" i="1"/>
  <c r="W25" i="1"/>
  <c r="V25" i="1"/>
  <c r="U25" i="1"/>
  <c r="T25" i="1"/>
  <c r="M25" i="1"/>
  <c r="N25" i="1" s="1"/>
  <c r="J25" i="1"/>
  <c r="H25" i="1"/>
  <c r="G25" i="1"/>
  <c r="F25" i="1"/>
  <c r="E25" i="1"/>
  <c r="AF24" i="1"/>
  <c r="AE24" i="1"/>
  <c r="AD24" i="1"/>
  <c r="W24" i="1"/>
  <c r="V24" i="1"/>
  <c r="U24" i="1"/>
  <c r="T24" i="1"/>
  <c r="M24" i="1"/>
  <c r="N24" i="1" s="1"/>
  <c r="J24" i="1"/>
  <c r="H24" i="1"/>
  <c r="G24" i="1"/>
  <c r="F24" i="1"/>
  <c r="E24" i="1"/>
  <c r="AF23" i="1"/>
  <c r="AE23" i="1"/>
  <c r="AD23" i="1"/>
  <c r="W23" i="1"/>
  <c r="V23" i="1"/>
  <c r="U23" i="1"/>
  <c r="T23" i="1"/>
  <c r="M23" i="1"/>
  <c r="N23" i="1" s="1"/>
  <c r="J23" i="1"/>
  <c r="H23" i="1"/>
  <c r="G23" i="1"/>
  <c r="F23" i="1"/>
  <c r="E23" i="1"/>
  <c r="AF22" i="1"/>
  <c r="AE22" i="1"/>
  <c r="AD22" i="1"/>
  <c r="W22" i="1"/>
  <c r="V22" i="1"/>
  <c r="U22" i="1"/>
  <c r="T22" i="1"/>
  <c r="M22" i="1"/>
  <c r="N22" i="1" s="1"/>
  <c r="J22" i="1"/>
  <c r="H22" i="1"/>
  <c r="G22" i="1"/>
  <c r="F22" i="1"/>
  <c r="E22" i="1"/>
  <c r="AF21" i="1"/>
  <c r="AE21" i="1"/>
  <c r="AD21" i="1"/>
  <c r="W21" i="1"/>
  <c r="V21" i="1"/>
  <c r="U21" i="1"/>
  <c r="T21" i="1"/>
  <c r="M21" i="1"/>
  <c r="N21" i="1" s="1"/>
  <c r="J21" i="1"/>
  <c r="H21" i="1"/>
  <c r="G21" i="1"/>
  <c r="F21" i="1"/>
  <c r="E21" i="1"/>
  <c r="AF20" i="1"/>
  <c r="AE20" i="1"/>
  <c r="AD20" i="1"/>
  <c r="W20" i="1"/>
  <c r="V20" i="1"/>
  <c r="U20" i="1"/>
  <c r="T20" i="1"/>
  <c r="M20" i="1"/>
  <c r="N20" i="1" s="1"/>
  <c r="J20" i="1"/>
  <c r="H20" i="1"/>
  <c r="G20" i="1"/>
  <c r="F20" i="1"/>
  <c r="E20" i="1"/>
  <c r="AF19" i="1"/>
  <c r="AE19" i="1"/>
  <c r="AD19" i="1"/>
  <c r="W19" i="1"/>
  <c r="V19" i="1"/>
  <c r="U19" i="1"/>
  <c r="T19" i="1"/>
  <c r="M19" i="1"/>
  <c r="N19" i="1" s="1"/>
  <c r="J19" i="1"/>
  <c r="H19" i="1"/>
  <c r="G19" i="1"/>
  <c r="F19" i="1"/>
  <c r="E19" i="1"/>
  <c r="AF18" i="1"/>
  <c r="AE18" i="1"/>
  <c r="AD18" i="1"/>
  <c r="W18" i="1"/>
  <c r="V18" i="1"/>
  <c r="U18" i="1"/>
  <c r="T18" i="1"/>
  <c r="M18" i="1"/>
  <c r="N18" i="1" s="1"/>
  <c r="J18" i="1"/>
  <c r="H18" i="1"/>
  <c r="G18" i="1"/>
  <c r="F18" i="1"/>
  <c r="E18" i="1"/>
  <c r="AF17" i="1"/>
  <c r="AE17" i="1"/>
  <c r="AD17" i="1"/>
  <c r="W17" i="1"/>
  <c r="V17" i="1"/>
  <c r="U17" i="1"/>
  <c r="T17" i="1"/>
  <c r="N17" i="1"/>
  <c r="M17" i="1"/>
  <c r="J17" i="1"/>
  <c r="H17" i="1"/>
  <c r="G17" i="1"/>
  <c r="F17" i="1"/>
  <c r="E17" i="1"/>
  <c r="AF16" i="1"/>
  <c r="AE16" i="1"/>
  <c r="AD16" i="1"/>
  <c r="W16" i="1"/>
  <c r="V16" i="1"/>
  <c r="U16" i="1"/>
  <c r="T16" i="1"/>
  <c r="M16" i="1"/>
  <c r="N16" i="1" s="1"/>
  <c r="J16" i="1"/>
  <c r="H16" i="1"/>
  <c r="G16" i="1"/>
  <c r="F16" i="1"/>
  <c r="E16" i="1"/>
  <c r="AF15" i="1"/>
  <c r="AE15" i="1"/>
  <c r="AD15" i="1"/>
  <c r="W15" i="1"/>
  <c r="V15" i="1"/>
  <c r="U15" i="1"/>
  <c r="T15" i="1"/>
  <c r="M15" i="1"/>
  <c r="N15" i="1" s="1"/>
  <c r="J15" i="1"/>
  <c r="H15" i="1"/>
  <c r="G15" i="1"/>
  <c r="F15" i="1"/>
  <c r="E15" i="1"/>
  <c r="AF14" i="1"/>
  <c r="AE14" i="1"/>
  <c r="AD14" i="1"/>
  <c r="W14" i="1"/>
  <c r="V14" i="1"/>
  <c r="U14" i="1"/>
  <c r="T14" i="1"/>
  <c r="M14" i="1"/>
  <c r="N14" i="1" s="1"/>
  <c r="J14" i="1"/>
  <c r="H14" i="1"/>
  <c r="G14" i="1"/>
  <c r="F14" i="1"/>
  <c r="E14" i="1"/>
  <c r="AF13" i="1"/>
  <c r="AE13" i="1"/>
  <c r="AD13" i="1"/>
  <c r="W13" i="1"/>
  <c r="V13" i="1"/>
  <c r="U13" i="1"/>
  <c r="T13" i="1"/>
  <c r="M13" i="1"/>
  <c r="N13" i="1" s="1"/>
  <c r="J13" i="1"/>
  <c r="H13" i="1"/>
  <c r="G13" i="1"/>
  <c r="F13" i="1"/>
  <c r="E13" i="1"/>
  <c r="AF12" i="1"/>
  <c r="AE12" i="1"/>
  <c r="AD12" i="1"/>
  <c r="W12" i="1"/>
  <c r="V12" i="1"/>
  <c r="U12" i="1"/>
  <c r="T12" i="1"/>
  <c r="M12" i="1"/>
  <c r="N12" i="1" s="1"/>
  <c r="J12" i="1"/>
  <c r="H12" i="1"/>
  <c r="G12" i="1"/>
  <c r="F12" i="1"/>
  <c r="E12" i="1"/>
  <c r="AF11" i="1"/>
  <c r="AE11" i="1"/>
  <c r="AD11" i="1"/>
  <c r="W11" i="1"/>
  <c r="V11" i="1"/>
  <c r="U11" i="1"/>
  <c r="T11" i="1"/>
  <c r="M11" i="1"/>
  <c r="N11" i="1" s="1"/>
  <c r="J11" i="1"/>
  <c r="H11" i="1"/>
  <c r="G11" i="1"/>
  <c r="F11" i="1"/>
  <c r="E11" i="1"/>
  <c r="AF10" i="1"/>
  <c r="AE10" i="1"/>
  <c r="AD10" i="1"/>
  <c r="W10" i="1"/>
  <c r="V10" i="1"/>
  <c r="U10" i="1"/>
  <c r="T10" i="1"/>
  <c r="M10" i="1"/>
  <c r="N10" i="1" s="1"/>
  <c r="J10" i="1"/>
  <c r="H10" i="1"/>
  <c r="G10" i="1"/>
  <c r="F10" i="1"/>
  <c r="E10" i="1"/>
  <c r="AF9" i="1"/>
  <c r="AE9" i="1"/>
  <c r="AD9" i="1"/>
  <c r="W9" i="1"/>
  <c r="V9" i="1"/>
  <c r="U9" i="1"/>
  <c r="T9" i="1"/>
  <c r="M9" i="1"/>
  <c r="N9" i="1" s="1"/>
  <c r="J9" i="1"/>
  <c r="H9" i="1"/>
  <c r="G9" i="1"/>
  <c r="F9" i="1"/>
  <c r="E9" i="1"/>
  <c r="AF8" i="1"/>
  <c r="AE8" i="1"/>
  <c r="AD8" i="1"/>
  <c r="W8" i="1"/>
  <c r="V8" i="1"/>
  <c r="U8" i="1"/>
  <c r="T8" i="1"/>
  <c r="M8" i="1"/>
  <c r="N8" i="1" s="1"/>
  <c r="J8" i="1"/>
  <c r="H8" i="1"/>
  <c r="G8" i="1"/>
  <c r="F8" i="1"/>
  <c r="E8" i="1"/>
  <c r="AF7" i="1"/>
  <c r="AE7" i="1"/>
  <c r="AD7" i="1"/>
  <c r="W7" i="1"/>
  <c r="V7" i="1"/>
  <c r="U7" i="1"/>
  <c r="T7" i="1"/>
  <c r="M7" i="1"/>
  <c r="N7" i="1" s="1"/>
  <c r="J7" i="1"/>
  <c r="H7" i="1"/>
  <c r="G7" i="1"/>
  <c r="F7" i="1"/>
  <c r="E7" i="1"/>
  <c r="AF6" i="1"/>
  <c r="AE6" i="1"/>
  <c r="AD6" i="1"/>
  <c r="W6" i="1"/>
  <c r="V6" i="1"/>
  <c r="U6" i="1"/>
  <c r="T6" i="1"/>
  <c r="M6" i="1"/>
  <c r="N6" i="1" s="1"/>
  <c r="J6" i="1"/>
  <c r="H6" i="1"/>
  <c r="G6" i="1"/>
  <c r="F6" i="1"/>
  <c r="E6" i="1"/>
  <c r="AF5" i="1"/>
  <c r="AE5" i="1"/>
  <c r="AD5" i="1"/>
  <c r="W5" i="1"/>
  <c r="V5" i="1"/>
  <c r="U5" i="1"/>
  <c r="T5" i="1"/>
  <c r="M5" i="1"/>
  <c r="N5" i="1" s="1"/>
  <c r="J5" i="1"/>
  <c r="H5" i="1"/>
  <c r="G5" i="1"/>
  <c r="F5" i="1"/>
  <c r="E5" i="1"/>
  <c r="N18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Larah Bruning Ascari</author>
    <author>LUIZ OCTAVIO  COUTO GOMES</author>
    <author>Vinicius Gualter Correa Salles</author>
    <author>Andre  Macagnan</author>
    <author>Vinícius Salles</author>
  </authors>
  <commentList>
    <comment ref="K8" authorId="0" shapeId="0" xr:uid="{B9524978-6FC6-4183-A5C7-E46B55DBB2D9}">
      <text>
        <r>
          <rPr>
            <sz val="9"/>
            <color indexed="81"/>
            <rFont val="Segoe UI"/>
            <family val="2"/>
          </rPr>
          <t>CS Barra 17_x000D_
Qger: -80,5 Mvar</t>
        </r>
      </text>
    </comment>
    <comment ref="K11" authorId="0" shapeId="0" xr:uid="{41DAE531-72F0-4399-A049-853259358EBD}">
      <text>
        <r>
          <rPr>
            <sz val="9"/>
            <color indexed="81"/>
            <rFont val="Segoe UI"/>
            <family val="2"/>
          </rPr>
          <t>CS Barra 13_x000D_
Qger: 0 Mvar</t>
        </r>
      </text>
    </comment>
    <comment ref="K14" authorId="0" shapeId="0" xr:uid="{3ABC92F7-19DD-4F55-AC41-2D103573E4A8}">
      <text>
        <r>
          <rPr>
            <sz val="9"/>
            <color indexed="81"/>
            <rFont val="Segoe UI"/>
            <family val="2"/>
          </rPr>
          <t>CS Barra 9037_x000D_
Qger: 5,992 Mvar</t>
        </r>
      </text>
    </comment>
    <comment ref="K26" authorId="0" shapeId="0" xr:uid="{50921AF1-CC49-427F-97FA-2AE2AC883016}">
      <text>
        <r>
          <rPr>
            <sz val="9"/>
            <color indexed="81"/>
            <rFont val="Segoe UI"/>
            <family val="2"/>
          </rPr>
          <t>CS Barra 9035_x000D_
Qger: 0 Mvar</t>
        </r>
      </text>
    </comment>
    <comment ref="K30" authorId="0" shapeId="0" xr:uid="{7EB26039-9B1F-4139-8FFD-E9FF0D0A9FFE}">
      <text>
        <r>
          <rPr>
            <sz val="9"/>
            <color indexed="81"/>
            <rFont val="Segoe UI"/>
            <family val="2"/>
          </rPr>
          <t>CS Barra 9034_x000D_
Qger: -30,9 Mvar</t>
        </r>
      </text>
    </comment>
    <comment ref="K31" authorId="0" shapeId="0" xr:uid="{E1C25704-2C44-4C52-BAD8-663BD5A68558}">
      <text>
        <r>
          <rPr>
            <sz val="9"/>
            <color indexed="81"/>
            <rFont val="Segoe UI"/>
            <family val="2"/>
          </rPr>
          <t>CS Barra 19_x000D_
Qger: -21,7 Mvar</t>
        </r>
      </text>
    </comment>
    <comment ref="D45" authorId="1" shapeId="0" xr:uid="{70044FE4-C07E-49B8-A3D7-1D776DFBC644}">
      <text>
        <r>
          <rPr>
            <b/>
            <sz val="9"/>
            <color indexed="81"/>
            <rFont val="Tahoma"/>
            <family val="2"/>
          </rPr>
          <t xml:space="preserve">VINÍCIUS SALLES:
</t>
        </r>
        <r>
          <rPr>
            <sz val="9"/>
            <color indexed="81"/>
            <rFont val="Tahoma"/>
            <family val="2"/>
          </rPr>
          <t>Influência no SUL</t>
        </r>
      </text>
    </comment>
    <comment ref="K46" authorId="0" shapeId="0" xr:uid="{E26A7A31-3478-4932-B502-1F95A523F0C7}">
      <text>
        <r>
          <rPr>
            <sz val="9"/>
            <color indexed="81"/>
            <rFont val="Segoe UI"/>
            <family val="2"/>
          </rPr>
          <t>CS Barra 531_x000D_
Qger: -54,4 Mvar</t>
        </r>
      </text>
    </comment>
    <comment ref="D61" authorId="2" shapeId="0" xr:uid="{80E76827-001C-4584-9BE1-C91EE4C96D2E}">
      <text>
        <r>
          <rPr>
            <b/>
            <sz val="12"/>
            <color indexed="81"/>
            <rFont val="Segoe UI"/>
            <family val="2"/>
          </rPr>
          <t>Vinícius Salles:</t>
        </r>
        <r>
          <rPr>
            <sz val="12"/>
            <color indexed="81"/>
            <rFont val="Segoe UI"/>
            <family val="2"/>
          </rPr>
          <t xml:space="preserve">
A representação da usina foi modificada no Banco de Dados BD2403R0, de modo que a barra 511 passa a incluir toda a geração da UHE Rosana. Portanto, a barra 505 pode ser eliminada ou deve ter a geração zerada.</t>
        </r>
      </text>
    </comment>
    <comment ref="D63" authorId="2" shapeId="0" xr:uid="{B6112F12-A172-466E-AD95-50C286C4BCA4}">
      <text>
        <r>
          <rPr>
            <b/>
            <sz val="12"/>
            <color indexed="81"/>
            <rFont val="Segoe UI"/>
            <family val="2"/>
          </rPr>
          <t>Vinícius Salles:</t>
        </r>
        <r>
          <rPr>
            <sz val="12"/>
            <color indexed="81"/>
            <rFont val="Segoe UI"/>
            <family val="2"/>
          </rPr>
          <t xml:space="preserve">
Influência no Sul.</t>
        </r>
      </text>
    </comment>
    <comment ref="D64" authorId="2" shapeId="0" xr:uid="{072B7E43-E49C-4622-AF51-64AFBB70A4EF}">
      <text>
        <r>
          <rPr>
            <b/>
            <sz val="12"/>
            <color indexed="81"/>
            <rFont val="Segoe UI"/>
            <family val="2"/>
          </rPr>
          <t>Vinícius Salles:</t>
        </r>
        <r>
          <rPr>
            <sz val="12"/>
            <color indexed="81"/>
            <rFont val="Segoe UI"/>
            <family val="2"/>
          </rPr>
          <t xml:space="preserve">
Influência no Sul.</t>
        </r>
      </text>
    </comment>
    <comment ref="D72" authorId="2" shapeId="0" xr:uid="{CBCC04CD-ACB8-4F60-A41E-0680954E0169}">
      <text>
        <r>
          <rPr>
            <b/>
            <sz val="9"/>
            <color indexed="81"/>
            <rFont val="Segoe UI"/>
            <family val="2"/>
          </rPr>
          <t>VINICIUS SALLES:</t>
        </r>
        <r>
          <rPr>
            <sz val="9"/>
            <color indexed="81"/>
            <rFont val="Segoe UI"/>
            <family val="2"/>
          </rPr>
          <t xml:space="preserve">
Usina com restrições hidráulicas.</t>
        </r>
      </text>
    </comment>
    <comment ref="K72" authorId="0" shapeId="0" xr:uid="{711F7AE9-1CDF-45CF-8CCE-8FCA92094F37}">
      <text>
        <r>
          <rPr>
            <sz val="9"/>
            <color indexed="81"/>
            <rFont val="Segoe UI"/>
            <family val="2"/>
          </rPr>
          <t>CS Barra 7461_x000D_
Qger: 0 Mvar</t>
        </r>
      </text>
    </comment>
    <comment ref="D73" authorId="2" shapeId="0" xr:uid="{4B4F1BF0-9ECD-4EB1-A7A1-59335F02CF98}">
      <text>
        <r>
          <rPr>
            <b/>
            <sz val="9"/>
            <color indexed="81"/>
            <rFont val="Segoe UI"/>
            <family val="2"/>
          </rPr>
          <t>VINICIUS SALLES:</t>
        </r>
        <r>
          <rPr>
            <sz val="9"/>
            <color indexed="81"/>
            <rFont val="Segoe UI"/>
            <family val="2"/>
          </rPr>
          <t xml:space="preserve">
Usina com restrições hidráulicas.</t>
        </r>
      </text>
    </comment>
    <comment ref="K73" authorId="0" shapeId="0" xr:uid="{95B72992-D47F-4856-9F01-7C8EB6E7C0D2}">
      <text>
        <r>
          <rPr>
            <sz val="9"/>
            <color indexed="81"/>
            <rFont val="Segoe UI"/>
            <family val="2"/>
          </rPr>
          <t>CS Barra 7462_x000D_
Qger: 0 Mvar</t>
        </r>
      </text>
    </comment>
    <comment ref="D74" authorId="2" shapeId="0" xr:uid="{90A44FF8-699F-4822-A7B1-C8550CC5A640}">
      <text>
        <r>
          <rPr>
            <b/>
            <sz val="9"/>
            <color indexed="81"/>
            <rFont val="Segoe UI"/>
            <family val="2"/>
          </rPr>
          <t>VINICIUS SALLES:</t>
        </r>
        <r>
          <rPr>
            <sz val="9"/>
            <color indexed="81"/>
            <rFont val="Segoe UI"/>
            <family val="2"/>
          </rPr>
          <t xml:space="preserve">
Usina com restrições hidráulicas.</t>
        </r>
      </text>
    </comment>
    <comment ref="K74" authorId="0" shapeId="0" xr:uid="{A3E97628-B384-42D8-AF15-7128933911D0}">
      <text>
        <r>
          <rPr>
            <sz val="9"/>
            <color indexed="81"/>
            <rFont val="Segoe UI"/>
            <family val="2"/>
          </rPr>
          <t>CS Barra 7463_x000D_
Qger: 12,01 Mvar</t>
        </r>
      </text>
    </comment>
    <comment ref="D75" authorId="2" shapeId="0" xr:uid="{A90C7AA4-F507-40A2-B9A0-3D3129AB84A0}">
      <text>
        <r>
          <rPr>
            <b/>
            <sz val="9"/>
            <color indexed="81"/>
            <rFont val="Segoe UI"/>
            <family val="2"/>
          </rPr>
          <t>VINICIUS SALLES:</t>
        </r>
        <r>
          <rPr>
            <sz val="9"/>
            <color indexed="81"/>
            <rFont val="Segoe UI"/>
            <family val="2"/>
          </rPr>
          <t xml:space="preserve">
Usina com restrições hidráulicas.</t>
        </r>
      </text>
    </comment>
    <comment ref="K75" authorId="0" shapeId="0" xr:uid="{D085E1D6-3AF5-42D3-9CE2-57ABFFC16B7B}">
      <text>
        <r>
          <rPr>
            <sz val="9"/>
            <color indexed="81"/>
            <rFont val="Segoe UI"/>
            <family val="2"/>
          </rPr>
          <t>CS Barra 7464_x000D_
Qger: 0 Mvar</t>
        </r>
      </text>
    </comment>
    <comment ref="D76" authorId="2" shapeId="0" xr:uid="{FA819706-5B78-41DB-B1F5-7083F95C5D07}">
      <text>
        <r>
          <rPr>
            <b/>
            <sz val="9"/>
            <color indexed="81"/>
            <rFont val="Segoe UI"/>
            <family val="2"/>
          </rPr>
          <t>VINICIUS SALLES:</t>
        </r>
        <r>
          <rPr>
            <sz val="9"/>
            <color indexed="81"/>
            <rFont val="Segoe UI"/>
            <family val="2"/>
          </rPr>
          <t xml:space="preserve">
Usina com restrições hidráulicas.</t>
        </r>
      </text>
    </comment>
    <comment ref="K76" authorId="0" shapeId="0" xr:uid="{B34E7E16-FDE5-4E5C-B607-46F4A3E10808}">
      <text>
        <r>
          <rPr>
            <sz val="9"/>
            <color indexed="81"/>
            <rFont val="Segoe UI"/>
            <family val="2"/>
          </rPr>
          <t>CS Barra 7468_x000D_
Qger: 71,16 Mvar</t>
        </r>
      </text>
    </comment>
    <comment ref="D77" authorId="2" shapeId="0" xr:uid="{EF6D44B8-57B6-47C5-A8CA-0BA68054FE6E}">
      <text>
        <r>
          <rPr>
            <b/>
            <sz val="9"/>
            <color indexed="81"/>
            <rFont val="Segoe UI"/>
            <family val="2"/>
          </rPr>
          <t>VINICIUS SALLES:</t>
        </r>
        <r>
          <rPr>
            <sz val="9"/>
            <color indexed="81"/>
            <rFont val="Segoe UI"/>
            <family val="2"/>
          </rPr>
          <t xml:space="preserve">
Usina com restrições hidráulicas.</t>
        </r>
      </text>
    </comment>
    <comment ref="K77" authorId="0" shapeId="0" xr:uid="{442705DF-D00E-4140-82D3-456672E97B5B}">
      <text>
        <r>
          <rPr>
            <sz val="9"/>
            <color indexed="81"/>
            <rFont val="Segoe UI"/>
            <family val="2"/>
          </rPr>
          <t>CS Barra 7469_x000D_
Qger: 20,32 Mvar</t>
        </r>
      </text>
    </comment>
    <comment ref="K103" authorId="0" shapeId="0" xr:uid="{CDB14969-754D-459F-A722-814BF8E5DED8}">
      <text>
        <r>
          <rPr>
            <sz val="9"/>
            <color indexed="81"/>
            <rFont val="Segoe UI"/>
            <family val="2"/>
          </rPr>
          <t>CS Barra 9041_x000D_
Qger: -15,1 Mvar</t>
        </r>
      </text>
    </comment>
    <comment ref="K109" authorId="0" shapeId="0" xr:uid="{B61C5F85-87E4-419C-B438-D535D093CAF9}">
      <text>
        <r>
          <rPr>
            <sz val="9"/>
            <color indexed="81"/>
            <rFont val="Segoe UI"/>
            <family val="2"/>
          </rPr>
          <t>CS Barra 6295_x000D_
Qger: -118 Mvar</t>
        </r>
      </text>
    </comment>
    <comment ref="K123" authorId="2" shapeId="0" xr:uid="{B3A1B269-FE63-4321-BC91-662AC6D9511C}">
      <text>
        <r>
          <rPr>
            <sz val="9"/>
            <color indexed="81"/>
            <rFont val="Segoe UI"/>
            <family val="2"/>
          </rPr>
          <t>CS Barra 47231_x000D_
Qger: -144 Mvar</t>
        </r>
      </text>
    </comment>
    <comment ref="K124" authorId="0" shapeId="0" xr:uid="{795BDF08-ABCF-479C-B93A-B00955000AD9}">
      <text>
        <r>
          <rPr>
            <sz val="9"/>
            <color indexed="81"/>
            <rFont val="Segoe UI"/>
            <family val="2"/>
          </rPr>
          <t>CS Barra 47215_x000D_
Qger: -637 Mvar</t>
        </r>
      </text>
    </comment>
    <comment ref="K126" authorId="0" shapeId="0" xr:uid="{1505EFE3-22FA-4582-9C81-119A37D56A84}">
      <text>
        <r>
          <rPr>
            <sz val="9"/>
            <color indexed="81"/>
            <rFont val="Segoe UI"/>
            <family val="2"/>
          </rPr>
          <t>CS Barra 5523_x000D_
Qger: 0 Mvar</t>
        </r>
      </text>
    </comment>
    <comment ref="K127" authorId="0" shapeId="0" xr:uid="{399BF798-E7C1-4177-B945-D1BA52AB03E6}">
      <text>
        <r>
          <rPr>
            <sz val="9"/>
            <color indexed="81"/>
            <rFont val="Segoe UI"/>
            <family val="2"/>
          </rPr>
          <t>CS Barra 37_x000D_
Qger: -135 Mvar</t>
        </r>
      </text>
    </comment>
    <comment ref="K128" authorId="0" shapeId="0" xr:uid="{42698497-ECDA-4874-B96C-C7AA3130FE52}">
      <text>
        <r>
          <rPr>
            <sz val="9"/>
            <color indexed="81"/>
            <rFont val="Segoe UI"/>
            <family val="2"/>
          </rPr>
          <t>CS Barra 23_x000D_
Qger: 0 Mvar</t>
        </r>
      </text>
    </comment>
    <comment ref="D133" authorId="2" shapeId="0" xr:uid="{D4959B76-A080-4F12-913F-60C5A820E2A8}">
      <text>
        <r>
          <rPr>
            <b/>
            <sz val="12"/>
            <color indexed="81"/>
            <rFont val="Segoe UI"/>
            <family val="2"/>
          </rPr>
          <t>Vinícius Salles (24/05/2024):</t>
        </r>
        <r>
          <rPr>
            <sz val="12"/>
            <color indexed="81"/>
            <rFont val="Segoe UI"/>
            <family val="2"/>
          </rPr>
          <t xml:space="preserve">
Por meio do DSP 1.524 de 23/05/2024, a ANEEL suspendeu a operação comercial da </t>
        </r>
        <r>
          <rPr>
            <b/>
            <sz val="12"/>
            <color indexed="81"/>
            <rFont val="Segoe UI"/>
            <family val="2"/>
          </rPr>
          <t>UG10</t>
        </r>
        <r>
          <rPr>
            <sz val="12"/>
            <color indexed="81"/>
            <rFont val="Segoe UI"/>
            <family val="2"/>
          </rPr>
          <t xml:space="preserve"> da UHE Tucuruí. Desta forma, considerar nos casos de curto prazo </t>
        </r>
        <r>
          <rPr>
            <u/>
            <sz val="12"/>
            <color indexed="81"/>
            <rFont val="Segoe UI"/>
            <family val="2"/>
          </rPr>
          <t>1.400 MW</t>
        </r>
        <r>
          <rPr>
            <sz val="12"/>
            <color indexed="81"/>
            <rFont val="Segoe UI"/>
            <family val="2"/>
          </rPr>
          <t xml:space="preserve"> (4 máquinas) como potência máxima a ser despachada nessa barra.</t>
        </r>
      </text>
    </comment>
    <comment ref="D134" authorId="2" shapeId="0" xr:uid="{B69B4CC3-B419-4796-83D9-185743EE3914}">
      <text>
        <r>
          <rPr>
            <b/>
            <sz val="12"/>
            <color indexed="81"/>
            <rFont val="Segoe UI"/>
            <family val="2"/>
          </rPr>
          <t>Vinícius Salles (02/10/2019):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2"/>
            <color indexed="81"/>
            <rFont val="Segoe UI"/>
            <family val="2"/>
          </rPr>
          <t>Atualmente, somente uma unidade pode operar de forma contínua como síncrono. Portanto, utilizar somente 1CS por vez nos casos de curto prazo.</t>
        </r>
      </text>
    </comment>
    <comment ref="K134" authorId="0" shapeId="0" xr:uid="{78F3C868-FA24-4A94-A6FB-EBBE82540487}">
      <text>
        <r>
          <rPr>
            <sz val="9"/>
            <color indexed="81"/>
            <rFont val="Segoe UI"/>
            <family val="2"/>
          </rPr>
          <t>CS Barra 6421_x000D_
Qger: -439 Mvar</t>
        </r>
      </text>
    </comment>
    <comment ref="D135" authorId="2" shapeId="0" xr:uid="{E470A675-7A55-4C7A-B9B8-45D9BE7A8047}">
      <text>
        <r>
          <rPr>
            <b/>
            <sz val="12"/>
            <color indexed="81"/>
            <rFont val="Segoe UI"/>
            <family val="2"/>
          </rPr>
          <t xml:space="preserve">Vinícius Salles (02/10/2019):
</t>
        </r>
        <r>
          <rPr>
            <sz val="12"/>
            <color indexed="81"/>
            <rFont val="Segoe UI"/>
            <family val="2"/>
          </rPr>
          <t>Atualmente, somente uma unidade pode operar de forma contínua como síncrono. Portanto, utilizar somente 1CS por vez nos casos de curto prazo.</t>
        </r>
      </text>
    </comment>
    <comment ref="K135" authorId="0" shapeId="0" xr:uid="{94FD4DD2-7269-43E6-A790-976BA4DC33C0}">
      <text>
        <r>
          <rPr>
            <sz val="9"/>
            <color indexed="81"/>
            <rFont val="Segoe UI"/>
            <family val="2"/>
          </rPr>
          <t>CS Barra 6423_x000D_
Qger: -280 Mvar</t>
        </r>
      </text>
    </comment>
    <comment ref="K141" authorId="0" shapeId="0" xr:uid="{E3DAA8C9-8008-4BD5-ACBC-D537B18509A4}">
      <text>
        <r>
          <rPr>
            <sz val="9"/>
            <color indexed="81"/>
            <rFont val="Segoe UI"/>
            <family val="2"/>
          </rPr>
          <t>CS Barra 6728_x000D_
Qger: -560 Mvar</t>
        </r>
      </text>
    </comment>
    <comment ref="K170" authorId="0" shapeId="0" xr:uid="{66A796D0-41A6-4973-B398-D79565555E9E}">
      <text>
        <r>
          <rPr>
            <sz val="9"/>
            <color indexed="81"/>
            <rFont val="Segoe UI"/>
            <family val="2"/>
          </rPr>
          <t>CS Barra 801_x000D_
Qger: 0 Mvar</t>
        </r>
      </text>
    </comment>
    <comment ref="K171" authorId="0" shapeId="0" xr:uid="{F00B5E79-9DA5-4F83-A1B6-B291740ADCA3}">
      <text>
        <r>
          <rPr>
            <sz val="9"/>
            <color indexed="81"/>
            <rFont val="Segoe UI"/>
            <family val="2"/>
          </rPr>
          <t>CS Barra 811_x000D_
Qger: 0 Mvar</t>
        </r>
      </text>
    </comment>
    <comment ref="K172" authorId="0" shapeId="0" xr:uid="{533BED8B-846E-4DA7-9DE7-33E83127F144}">
      <text>
        <r>
          <rPr>
            <sz val="9"/>
            <color indexed="81"/>
            <rFont val="Segoe UI"/>
            <family val="2"/>
          </rPr>
          <t>CS Barra 926_x000D_
Qger: 0 Mvar</t>
        </r>
      </text>
    </comment>
    <comment ref="K173" authorId="0" shapeId="0" xr:uid="{AF7696DE-BFBD-41A2-B62D-94646FFFB1B9}">
      <text>
        <r>
          <rPr>
            <sz val="9"/>
            <color indexed="81"/>
            <rFont val="Segoe UI"/>
            <family val="2"/>
          </rPr>
          <t>CS Barra 920_x000D_
Qger: 0 Mvar</t>
        </r>
      </text>
    </comment>
    <comment ref="A174" authorId="3" shapeId="0" xr:uid="{2040D1B8-B38C-4C0D-B77C-BFEC9EF0EFC3}">
      <text>
        <r>
          <rPr>
            <b/>
            <sz val="10"/>
            <color indexed="81"/>
            <rFont val="Segoe UI"/>
            <family val="2"/>
          </rPr>
          <t>Andre Macagnan:</t>
        </r>
        <r>
          <rPr>
            <sz val="10"/>
            <color indexed="81"/>
            <rFont val="Segoe UI"/>
            <family val="2"/>
          </rPr>
          <t xml:space="preserve">
UGs 5 e 6  foram repotencializadas de 177,5 MW para 187,835 MW. No entanto, o atendimento ao novo MUST está condicionado a entrada do seccionamento da LT 230 kV Cascavel - Salto Osório na SE Foz do Chopim. 
MUST Atual: 1072 MW / MUST Futuro: 1094,5 MW</t>
        </r>
      </text>
    </comment>
    <comment ref="K174" authorId="0" shapeId="0" xr:uid="{BCED6CD1-2B13-4999-925C-F7E527B54CB9}">
      <text>
        <r>
          <rPr>
            <sz val="9"/>
            <color indexed="81"/>
            <rFont val="Segoe UI"/>
            <family val="2"/>
          </rPr>
          <t>CS Barra 922_x000D_
Qger: 0 Mvar</t>
        </r>
      </text>
    </comment>
    <comment ref="K175" authorId="0" shapeId="0" xr:uid="{A9F9EDF8-719C-4C6C-BAEA-8633DACF3A91}">
      <text>
        <r>
          <rPr>
            <sz val="9"/>
            <color indexed="81"/>
            <rFont val="Segoe UI"/>
            <family val="2"/>
          </rPr>
          <t>CS Barra 809_x000D_
Qger: 0 Mvar</t>
        </r>
      </text>
    </comment>
    <comment ref="K181" authorId="0" shapeId="0" xr:uid="{CD8635D7-BEDB-4A50-8E34-11952AA8CBD0}">
      <text>
        <r>
          <rPr>
            <sz val="9"/>
            <color indexed="81"/>
            <rFont val="Segoe UI"/>
            <family val="2"/>
          </rPr>
          <t>CS Barra 1158_x000D_
Qger: 0 Mvar</t>
        </r>
      </text>
    </comment>
    <comment ref="K182" authorId="0" shapeId="0" xr:uid="{A673112B-5A08-4150-8791-7A56CB024198}">
      <text>
        <r>
          <rPr>
            <sz val="9"/>
            <color indexed="81"/>
            <rFont val="Segoe UI"/>
            <family val="2"/>
          </rPr>
          <t>CS Barra 1151_x000D_
Qger: 0 Mvar</t>
        </r>
      </text>
    </comment>
    <comment ref="K183" authorId="0" shapeId="0" xr:uid="{E3A4A4CF-5171-418D-B9C0-3B476EE15B45}">
      <text>
        <r>
          <rPr>
            <sz val="9"/>
            <color indexed="81"/>
            <rFont val="Segoe UI"/>
            <family val="2"/>
          </rPr>
          <t>CS Barra 916_x000D_
Qger: 0 Mvar</t>
        </r>
      </text>
    </comment>
    <comment ref="T183" authorId="3" shapeId="0" xr:uid="{D3288C63-CF1A-49B3-8B76-99D3E7E77A10}">
      <text>
        <r>
          <rPr>
            <b/>
            <sz val="10"/>
            <color indexed="81"/>
            <rFont val="Segoe UI"/>
            <family val="2"/>
          </rPr>
          <t>Andre Macagnan:</t>
        </r>
        <r>
          <rPr>
            <sz val="10"/>
            <color indexed="81"/>
            <rFont val="Segoe UI"/>
            <family val="2"/>
          </rPr>
          <t xml:space="preserve">
Por razões ambientais, somente é permitido a operação de até 02 unidades como compensador síncrono simultaneamente desde que a terceira unidade geradora esteja operando como gerador.
Quando a vazão turbinada da UHE Machadinho for zero, apenas uma unidade geradora deve ser mantida como compensador síncrono.</t>
        </r>
      </text>
    </comment>
    <comment ref="K184" authorId="0" shapeId="0" xr:uid="{16285EDD-917A-41F3-9522-E51FC1C3053F}">
      <text>
        <r>
          <rPr>
            <sz val="9"/>
            <color indexed="81"/>
            <rFont val="Segoe UI"/>
            <family val="2"/>
          </rPr>
          <t>CS Barra 905_x000D_
Qger: 0 Mvar</t>
        </r>
      </text>
    </comment>
    <comment ref="K185" authorId="0" shapeId="0" xr:uid="{5A4C79B3-6F75-4D09-AB8A-857531FB071F}">
      <text>
        <r>
          <rPr>
            <sz val="9"/>
            <color indexed="81"/>
            <rFont val="Segoe UI"/>
            <family val="2"/>
          </rPr>
          <t>CS Barra 918_x000D_
Qger: 0 Mvar</t>
        </r>
      </text>
    </comment>
    <comment ref="K187" authorId="0" shapeId="0" xr:uid="{168875F1-9612-428A-9F87-F072B9DA2AF2}">
      <text>
        <r>
          <rPr>
            <sz val="9"/>
            <color indexed="81"/>
            <rFont val="Segoe UI"/>
            <family val="2"/>
          </rPr>
          <t>CS Barra 1073_x000D_
Qger: 0 Mvar</t>
        </r>
      </text>
    </comment>
    <comment ref="K193" authorId="0" shapeId="0" xr:uid="{E2CC49EA-0FA4-4ADD-BEB6-A62D0C0D0090}">
      <text>
        <r>
          <rPr>
            <sz val="9"/>
            <color indexed="81"/>
            <rFont val="Segoe UI"/>
            <family val="2"/>
          </rPr>
          <t>CS Barra 1156_x000D_
Qger: 0 Mvar</t>
        </r>
      </text>
    </comment>
    <comment ref="K194" authorId="0" shapeId="0" xr:uid="{D1E5F9C6-4E88-4E6F-A42A-99A0B82B37CB}">
      <text>
        <r>
          <rPr>
            <sz val="9"/>
            <color indexed="81"/>
            <rFont val="Segoe UI"/>
            <family val="2"/>
          </rPr>
          <t>CS Barra 1177_x000D_
Qger: -5,86 Mvar</t>
        </r>
      </text>
    </comment>
    <comment ref="A198" authorId="3" shapeId="0" xr:uid="{AF927538-792C-44D2-9707-36C750C59400}">
      <text>
        <r>
          <rPr>
            <b/>
            <sz val="10"/>
            <color indexed="81"/>
            <rFont val="Segoe UI"/>
            <family val="2"/>
          </rPr>
          <t>Andre Macagnan:</t>
        </r>
        <r>
          <rPr>
            <sz val="10"/>
            <color indexed="81"/>
            <rFont val="Segoe UI"/>
            <family val="2"/>
          </rPr>
          <t xml:space="preserve">
Usina adicionada manualmente no BNT1.</t>
        </r>
      </text>
    </comment>
    <comment ref="E198" authorId="3" shapeId="0" xr:uid="{EB26FDCD-1489-4F20-A0AC-C690EF6BE562}">
      <text>
        <r>
          <rPr>
            <b/>
            <sz val="10"/>
            <color indexed="81"/>
            <rFont val="Segoe UI"/>
            <family val="2"/>
          </rPr>
          <t xml:space="preserve">Andre Macagnan:
</t>
        </r>
        <r>
          <rPr>
            <sz val="10"/>
            <color indexed="81"/>
            <rFont val="Segoe UI"/>
            <family val="2"/>
          </rPr>
          <t>Fixado Pmin = 5 MW (em torno 23% da Pmax) para funcionamento da funcionalidade de Redespacho por Cascata do SUL.</t>
        </r>
      </text>
    </comment>
    <comment ref="A199" authorId="3" shapeId="0" xr:uid="{6C234782-538F-46C9-98FA-29BB41FBF2AB}">
      <text>
        <r>
          <rPr>
            <b/>
            <sz val="10"/>
            <color indexed="81"/>
            <rFont val="Segoe UI"/>
            <family val="2"/>
          </rPr>
          <t>Andre Macagnan:</t>
        </r>
        <r>
          <rPr>
            <sz val="10"/>
            <color indexed="81"/>
            <rFont val="Segoe UI"/>
            <family val="2"/>
          </rPr>
          <t xml:space="preserve">
Usina adicionada manualmente no BNT1.</t>
        </r>
      </text>
    </comment>
    <comment ref="E199" authorId="3" shapeId="0" xr:uid="{51857403-C976-47F1-AF3F-F9F2B6190ADF}">
      <text>
        <r>
          <rPr>
            <b/>
            <sz val="10"/>
            <color indexed="81"/>
            <rFont val="Segoe UI"/>
            <family val="2"/>
          </rPr>
          <t xml:space="preserve">Andre Macagnan:
</t>
        </r>
        <r>
          <rPr>
            <sz val="10"/>
            <color indexed="81"/>
            <rFont val="Segoe UI"/>
            <family val="2"/>
          </rPr>
          <t>Fixado Pmin = 5 MW (em torno 23% da Pmax) para funcionamento da funcionalidade de Redespacho por Cascata do SUL.</t>
        </r>
      </text>
    </comment>
    <comment ref="K201" authorId="0" shapeId="0" xr:uid="{27C2DC8C-3D78-4932-AB40-389827B598C2}">
      <text>
        <r>
          <rPr>
            <sz val="9"/>
            <color indexed="81"/>
            <rFont val="Segoe UI"/>
            <family val="2"/>
          </rPr>
          <t>CS Barra 805_x000D_
Qger: 0 Mvar</t>
        </r>
      </text>
    </comment>
    <comment ref="D279" authorId="2" shapeId="0" xr:uid="{9F856844-3AA3-4711-8300-4E6D8C23D8EF}">
      <text>
        <r>
          <rPr>
            <b/>
            <sz val="12"/>
            <color indexed="81"/>
            <rFont val="Segoe UI"/>
            <family val="2"/>
          </rPr>
          <t>Vinicius Salles:</t>
        </r>
        <r>
          <rPr>
            <sz val="12"/>
            <color indexed="81"/>
            <rFont val="Segoe UI"/>
            <family val="2"/>
          </rPr>
          <t xml:space="preserve">
Geração depende de contrato de fornecimento de combustível.</t>
        </r>
      </text>
    </comment>
    <comment ref="D280" authorId="2" shapeId="0" xr:uid="{31168303-1DF1-4EEF-A555-AE94EE169378}">
      <text>
        <r>
          <rPr>
            <b/>
            <sz val="12"/>
            <color indexed="81"/>
            <rFont val="Segoe UI"/>
            <family val="2"/>
          </rPr>
          <t>Vinicius Salles:</t>
        </r>
        <r>
          <rPr>
            <sz val="12"/>
            <color indexed="81"/>
            <rFont val="Segoe UI"/>
            <family val="2"/>
          </rPr>
          <t xml:space="preserve">
Geração depende de contrato de fornecimento de combustível.</t>
        </r>
      </text>
    </comment>
    <comment ref="D281" authorId="2" shapeId="0" xr:uid="{90AB92F8-7107-4A88-98FC-2C1B567B584F}">
      <text>
        <r>
          <rPr>
            <b/>
            <sz val="12"/>
            <color indexed="81"/>
            <rFont val="Segoe UI"/>
            <family val="2"/>
          </rPr>
          <t>Vinicius Salles:</t>
        </r>
        <r>
          <rPr>
            <sz val="12"/>
            <color indexed="81"/>
            <rFont val="Segoe UI"/>
            <family val="2"/>
          </rPr>
          <t xml:space="preserve">
Geração depende de contrato de fornecimento de combustível.</t>
        </r>
      </text>
    </comment>
    <comment ref="D282" authorId="2" shapeId="0" xr:uid="{8DBF7E6F-9D4A-4C0B-BDF0-60A004742F28}">
      <text>
        <r>
          <rPr>
            <b/>
            <sz val="12"/>
            <color indexed="81"/>
            <rFont val="Segoe UI"/>
            <family val="2"/>
          </rPr>
          <t>Vinicius Salles:</t>
        </r>
        <r>
          <rPr>
            <sz val="12"/>
            <color indexed="81"/>
            <rFont val="Segoe UI"/>
            <family val="2"/>
          </rPr>
          <t xml:space="preserve">
Geração depende de contrato de fornecimento de combustível.</t>
        </r>
      </text>
    </comment>
    <comment ref="D299" authorId="4" shapeId="0" xr:uid="{DC998F72-8FC3-478A-9D70-D34291A987D1}">
      <text>
        <r>
          <rPr>
            <sz val="12"/>
            <color indexed="81"/>
            <rFont val="Segoe UI"/>
            <family val="2"/>
          </rPr>
          <t>Previsão RALIE (jul/25):
Ago/2026</t>
        </r>
      </text>
    </comment>
    <comment ref="D327" authorId="4" shapeId="0" xr:uid="{9EEF96B9-62CB-4569-8010-D9E9D24691DE}">
      <text>
        <r>
          <rPr>
            <sz val="12"/>
            <color indexed="81"/>
            <rFont val="Segoe UI"/>
            <family val="2"/>
          </rPr>
          <t>Previsão RALIE (jul/25):
Nov/2025</t>
        </r>
      </text>
    </comment>
    <comment ref="D331" authorId="4" shapeId="0" xr:uid="{F6F14FEB-50BE-485A-ACAE-20EEC5CDA2E4}">
      <text>
        <r>
          <rPr>
            <sz val="12"/>
            <color indexed="81"/>
            <rFont val="Segoe UI"/>
            <family val="2"/>
          </rPr>
          <t>Previsão RALIE (jul/25):
Ago/2026</t>
        </r>
      </text>
    </comment>
    <comment ref="D332" authorId="4" shapeId="0" xr:uid="{23EF5535-989B-4D47-8713-61DD2A3A8914}">
      <text>
        <r>
          <rPr>
            <sz val="12"/>
            <color indexed="81"/>
            <rFont val="Segoe UI"/>
            <family val="2"/>
          </rPr>
          <t xml:space="preserve">Previsão RALIE (jul/25):
Jul/2027
</t>
        </r>
        <r>
          <rPr>
            <b/>
            <sz val="12"/>
            <color indexed="81"/>
            <rFont val="Segoe UI"/>
            <family val="2"/>
          </rPr>
          <t>(Potência máxima da usina igual a 295,43 MW, representação com 360 para ser compatível com BNT1)</t>
        </r>
      </text>
    </comment>
    <comment ref="D333" authorId="4" shapeId="0" xr:uid="{D978F9A2-376C-4BBB-ADF4-0073EF70AE45}">
      <text>
        <r>
          <rPr>
            <sz val="12"/>
            <color indexed="81"/>
            <rFont val="Segoe UI"/>
            <family val="2"/>
          </rPr>
          <t xml:space="preserve">Previsão RALIE (jul/25):
Jul/2027
</t>
        </r>
        <r>
          <rPr>
            <b/>
            <sz val="12"/>
            <color indexed="81"/>
            <rFont val="Segoe UI"/>
            <family val="2"/>
          </rPr>
          <t>(Potência máxima da usina igual a 295,43 MW, representação com 230 para ser compatível com BNT1)</t>
        </r>
      </text>
    </comment>
    <comment ref="D334" authorId="4" shapeId="0" xr:uid="{7D22106B-500F-4487-A3C7-03D1E8626AE5}">
      <text>
        <r>
          <rPr>
            <sz val="12"/>
            <color indexed="81"/>
            <rFont val="Segoe UI"/>
            <family val="2"/>
          </rPr>
          <t xml:space="preserve">Previsão RALIE (jul/25):
Dez/2026
</t>
        </r>
        <r>
          <rPr>
            <b/>
            <sz val="12"/>
            <color indexed="81"/>
            <rFont val="Segoe UI"/>
            <family val="2"/>
          </rPr>
          <t>(Potência máxima da usina igual a 162,9 MW, limitação em 155 para ser compatível com BNT1)</t>
        </r>
      </text>
    </comment>
    <comment ref="D353" authorId="2" shapeId="0" xr:uid="{9FA4DAFF-FFEA-4DB0-B115-837D2F5B12BC}">
      <text>
        <r>
          <rPr>
            <b/>
            <sz val="12"/>
            <color indexed="81"/>
            <rFont val="Segoe UI"/>
            <family val="2"/>
          </rPr>
          <t>Vinícius Salles:</t>
        </r>
        <r>
          <rPr>
            <sz val="12"/>
            <color indexed="81"/>
            <rFont val="Segoe UI"/>
            <family val="2"/>
          </rPr>
          <t xml:space="preserve">
UTE Alugada.</t>
        </r>
      </text>
    </comment>
    <comment ref="D354" authorId="2" shapeId="0" xr:uid="{5664D6E9-A11A-4BC7-A781-71C78899DA95}">
      <text>
        <r>
          <rPr>
            <b/>
            <sz val="12"/>
            <color indexed="81"/>
            <rFont val="Segoe UI"/>
            <family val="2"/>
          </rPr>
          <t>Vinícius Salles:</t>
        </r>
        <r>
          <rPr>
            <sz val="12"/>
            <color indexed="81"/>
            <rFont val="Segoe UI"/>
            <family val="2"/>
          </rPr>
          <t xml:space="preserve">
UTE Alugada.</t>
        </r>
      </text>
    </comment>
    <comment ref="D355" authorId="2" shapeId="0" xr:uid="{B357DD30-83C5-48C9-8008-F0AC8195A348}">
      <text>
        <r>
          <rPr>
            <b/>
            <sz val="12"/>
            <color indexed="81"/>
            <rFont val="Segoe UI"/>
            <family val="2"/>
          </rPr>
          <t>Vinícius Salles:</t>
        </r>
        <r>
          <rPr>
            <sz val="12"/>
            <color indexed="81"/>
            <rFont val="Segoe UI"/>
            <family val="2"/>
          </rPr>
          <t xml:space="preserve">
UTE Alugada.</t>
        </r>
      </text>
    </comment>
    <comment ref="D356" authorId="2" shapeId="0" xr:uid="{99A74728-38FC-46B0-8B57-E476C679DBF5}">
      <text>
        <r>
          <rPr>
            <b/>
            <sz val="12"/>
            <color indexed="81"/>
            <rFont val="Segoe UI"/>
            <family val="2"/>
          </rPr>
          <t>Vinícius Salles:</t>
        </r>
        <r>
          <rPr>
            <sz val="12"/>
            <color indexed="81"/>
            <rFont val="Segoe UI"/>
            <family val="2"/>
          </rPr>
          <t xml:space="preserve">
UTE suspensa pela ANEEL.</t>
        </r>
      </text>
    </comment>
    <comment ref="D357" authorId="2" shapeId="0" xr:uid="{3715AC81-09F8-4EFB-8579-5E12A9DCF463}">
      <text>
        <r>
          <rPr>
            <b/>
            <sz val="12"/>
            <color indexed="81"/>
            <rFont val="Segoe UI"/>
            <family val="2"/>
          </rPr>
          <t>Vinícius Salles:</t>
        </r>
        <r>
          <rPr>
            <sz val="12"/>
            <color indexed="81"/>
            <rFont val="Segoe UI"/>
            <family val="2"/>
          </rPr>
          <t xml:space="preserve">
UTE suspensa pela ANEEL.</t>
        </r>
      </text>
    </comment>
  </commentList>
</comments>
</file>

<file path=xl/sharedStrings.xml><?xml version="1.0" encoding="utf-8"?>
<sst xmlns="http://schemas.openxmlformats.org/spreadsheetml/2006/main" count="2630" uniqueCount="895">
  <si>
    <t>Nome da Usina</t>
  </si>
  <si>
    <t>Número da Barra</t>
  </si>
  <si>
    <t>Potência
Nominal
(MW)</t>
  </si>
  <si>
    <t>Pmín Unidade (MW)</t>
  </si>
  <si>
    <t>Pmáx Unidade (MW)</t>
  </si>
  <si>
    <t>Qmin por
Unidade
(Mvar)</t>
  </si>
  <si>
    <t>Qmáx por
Unidade
(Mvar)</t>
  </si>
  <si>
    <t>Despacho Atual</t>
  </si>
  <si>
    <t>Despacho Novo</t>
  </si>
  <si>
    <t>Modificações</t>
  </si>
  <si>
    <t>Número Máximo de Síncronos Despacháveis</t>
  </si>
  <si>
    <t>Síncronos Despachados</t>
  </si>
  <si>
    <t>Máquinas P.ativa Despacho Atual/Novo</t>
  </si>
  <si>
    <t>Nº Máximo de 
Unidades</t>
  </si>
  <si>
    <t>Estado</t>
  </si>
  <si>
    <t>Subsistema</t>
  </si>
  <si>
    <t>Tipo de Usina</t>
  </si>
  <si>
    <t>Nome do Rio</t>
  </si>
  <si>
    <t>Nome da Bacia/ Estado</t>
  </si>
  <si>
    <t>Região de Influência</t>
  </si>
  <si>
    <t>Despacho da Usina em relação a Potência Instalada</t>
  </si>
  <si>
    <t>Potência Instalada da Usina em relação ao Nominal da Bacia</t>
  </si>
  <si>
    <t>Despacho da Usina em relação ao despacho da Bacia</t>
  </si>
  <si>
    <t>Dados de Linha</t>
  </si>
  <si>
    <t>no PWF</t>
  </si>
  <si>
    <t>N° Circ</t>
  </si>
  <si>
    <t>Nome da Barra do GERADOR</t>
  </si>
  <si>
    <t>MW</t>
  </si>
  <si>
    <t>%</t>
  </si>
  <si>
    <t>Mvar</t>
  </si>
  <si>
    <t>Vterm</t>
  </si>
  <si>
    <t>Forçar Nº de Máq</t>
  </si>
  <si>
    <t>Despacho
Síncronos</t>
  </si>
  <si>
    <t>V term</t>
  </si>
  <si>
    <t>Barra DE</t>
  </si>
  <si>
    <t>Barra PARA</t>
  </si>
  <si>
    <t>Itutinga</t>
  </si>
  <si>
    <t>MG</t>
  </si>
  <si>
    <t>SE-CO</t>
  </si>
  <si>
    <t>Reservatório</t>
  </si>
  <si>
    <t>Rio Grande</t>
  </si>
  <si>
    <t>Bacia do Grande</t>
  </si>
  <si>
    <t>Malha de Distribuição Sul/Itutinga/Itajubá - MG</t>
  </si>
  <si>
    <t>ITUTINUHE000</t>
  </si>
  <si>
    <t>Camargos</t>
  </si>
  <si>
    <t>CAMARGUHE000</t>
  </si>
  <si>
    <t>Funil Grande</t>
  </si>
  <si>
    <t>Fio d´Agua</t>
  </si>
  <si>
    <t>FUNGRDUHE002</t>
  </si>
  <si>
    <r>
      <t xml:space="preserve">Furnas </t>
    </r>
    <r>
      <rPr>
        <sz val="12"/>
        <color theme="5"/>
        <rFont val="Times New Roman"/>
        <family val="1"/>
      </rPr>
      <t>G5</t>
    </r>
  </si>
  <si>
    <t>Sistema de 345kV do Grande</t>
  </si>
  <si>
    <t>FURNASUHE004</t>
  </si>
  <si>
    <t>Mascarenhas de Moraes A</t>
  </si>
  <si>
    <t>M.MORAUHE003</t>
  </si>
  <si>
    <t>Mascarenhas de Moraes B</t>
  </si>
  <si>
    <t>M.MORBUHE002</t>
  </si>
  <si>
    <r>
      <t xml:space="preserve">Luís Carlos Barreto </t>
    </r>
    <r>
      <rPr>
        <sz val="12"/>
        <color theme="5"/>
        <rFont val="Times New Roman"/>
        <family val="1"/>
      </rPr>
      <t>G5</t>
    </r>
  </si>
  <si>
    <t>MG/SP</t>
  </si>
  <si>
    <t>LCBARRUHE003</t>
  </si>
  <si>
    <t>Jaguara</t>
  </si>
  <si>
    <t>JAGUARUHE002</t>
  </si>
  <si>
    <t>Igarapava</t>
  </si>
  <si>
    <t>Malha de Distribuição Triângulo - MG</t>
  </si>
  <si>
    <t>IGARAPUHE003</t>
  </si>
  <si>
    <t>Volta Grande</t>
  </si>
  <si>
    <t>V.GRD-UHE002</t>
  </si>
  <si>
    <t>Porto Colômbia</t>
  </si>
  <si>
    <t>PCOLOMUHE002</t>
  </si>
  <si>
    <r>
      <t xml:space="preserve">Marimbondo </t>
    </r>
    <r>
      <rPr>
        <sz val="12"/>
        <color theme="5"/>
        <rFont val="Times New Roman"/>
        <family val="1"/>
      </rPr>
      <t>G5</t>
    </r>
  </si>
  <si>
    <t>MARIMBUHE004</t>
  </si>
  <si>
    <r>
      <t xml:space="preserve">Água Vermelha </t>
    </r>
    <r>
      <rPr>
        <sz val="12"/>
        <color theme="5"/>
        <rFont val="Times New Roman"/>
        <family val="1"/>
      </rPr>
      <t>G5</t>
    </r>
  </si>
  <si>
    <t>SP</t>
  </si>
  <si>
    <t>Malha de 440kV - SP</t>
  </si>
  <si>
    <t>A.VERMUHE003</t>
  </si>
  <si>
    <t>Caconde</t>
  </si>
  <si>
    <t>Rio Pardo</t>
  </si>
  <si>
    <t>Pardo - SP</t>
  </si>
  <si>
    <t>CACONDUHE001</t>
  </si>
  <si>
    <t>Euclides Da Cunha</t>
  </si>
  <si>
    <t>ECUNHAUHE002</t>
  </si>
  <si>
    <t>Limoeiro (A. S. Oliveira)</t>
  </si>
  <si>
    <t>LIMOEIUHE001</t>
  </si>
  <si>
    <t>Batalha</t>
  </si>
  <si>
    <t>MG/GO</t>
  </si>
  <si>
    <t>Rio São Marcos</t>
  </si>
  <si>
    <t>Bacia do Paranaíba</t>
  </si>
  <si>
    <t>BATALHUHE002</t>
  </si>
  <si>
    <t>Serra do Facão</t>
  </si>
  <si>
    <t>GO</t>
  </si>
  <si>
    <t>SFACAOUHE002</t>
  </si>
  <si>
    <t>Corumbá IV</t>
  </si>
  <si>
    <t>Rio Corumbá</t>
  </si>
  <si>
    <t>CORUM4UHE002</t>
  </si>
  <si>
    <t>Corumbá III</t>
  </si>
  <si>
    <t>CORUM3UHE002</t>
  </si>
  <si>
    <t>Corumbá I</t>
  </si>
  <si>
    <t>CORUMBUHE002</t>
  </si>
  <si>
    <r>
      <t xml:space="preserve">Nova Ponte </t>
    </r>
    <r>
      <rPr>
        <sz val="12"/>
        <color theme="5"/>
        <rFont val="Times New Roman"/>
        <family val="1"/>
      </rPr>
      <t>G5</t>
    </r>
  </si>
  <si>
    <t>Rio Araguari</t>
  </si>
  <si>
    <t>Sistema de 500kV do Paranaíba</t>
  </si>
  <si>
    <t>NPONTEUHE002</t>
  </si>
  <si>
    <t>Miranda</t>
  </si>
  <si>
    <t>MIRANDUHE002</t>
  </si>
  <si>
    <t>Amador Aguiar 1</t>
  </si>
  <si>
    <t>AMADO1UHE002</t>
  </si>
  <si>
    <t>Amador Aguiar 2</t>
  </si>
  <si>
    <t>AMADO2UHE002</t>
  </si>
  <si>
    <r>
      <t>Emborcação</t>
    </r>
    <r>
      <rPr>
        <sz val="12"/>
        <color rgb="FFFF0000"/>
        <rFont val="Times New Roman"/>
        <family val="1"/>
      </rPr>
      <t xml:space="preserve"> G5</t>
    </r>
  </si>
  <si>
    <t>Rio Paranaíba</t>
  </si>
  <si>
    <t>EMBORCUHE003</t>
  </si>
  <si>
    <t>Itumbiara</t>
  </si>
  <si>
    <t>ITUMBIUHE004</t>
  </si>
  <si>
    <t>Cachoeira Dourada 230 kV</t>
  </si>
  <si>
    <t>C.D13KUHE001</t>
  </si>
  <si>
    <t>C.D13NUHE002</t>
  </si>
  <si>
    <t>C.DOU1UHE001</t>
  </si>
  <si>
    <t>Cachoeira Dourada 138 kV</t>
  </si>
  <si>
    <t>C.DO13UHE002</t>
  </si>
  <si>
    <t>C.DO11UHE002</t>
  </si>
  <si>
    <t>São Simão</t>
  </si>
  <si>
    <t>SSIMAOUHE004</t>
  </si>
  <si>
    <t>Caçu</t>
  </si>
  <si>
    <t>Rio Claro</t>
  </si>
  <si>
    <t>CACU--UHE002</t>
  </si>
  <si>
    <t>Barra dos Coqueiros</t>
  </si>
  <si>
    <t>BCOQUEUHE002</t>
  </si>
  <si>
    <t>Foz do Rio Claro</t>
  </si>
  <si>
    <t>FRCLARUHE002</t>
  </si>
  <si>
    <t>Espora</t>
  </si>
  <si>
    <t>Rio Corrente</t>
  </si>
  <si>
    <t>ESPORAUHE002</t>
  </si>
  <si>
    <t>Estrela</t>
  </si>
  <si>
    <t>48</t>
  </si>
  <si>
    <t>Rio Verde</t>
  </si>
  <si>
    <t>-</t>
  </si>
  <si>
    <t>Salto</t>
  </si>
  <si>
    <t>SALTO-UHE002</t>
  </si>
  <si>
    <t>Salto Rio Verdinho</t>
  </si>
  <si>
    <t>S.R.V-UHE002</t>
  </si>
  <si>
    <t>São Domingos</t>
  </si>
  <si>
    <t>MS</t>
  </si>
  <si>
    <t>S</t>
  </si>
  <si>
    <t>Bacia do Paraná</t>
  </si>
  <si>
    <t>Mato Grosso do Sul</t>
  </si>
  <si>
    <t>SDOMINUHE002</t>
  </si>
  <si>
    <r>
      <t xml:space="preserve">Ilha Solteira </t>
    </r>
    <r>
      <rPr>
        <sz val="12"/>
        <color rgb="FFFF0000"/>
        <rFont val="Times New Roman"/>
        <family val="1"/>
      </rPr>
      <t>G5</t>
    </r>
  </si>
  <si>
    <t>Rio Paraná</t>
  </si>
  <si>
    <t>I.SOLTUHE015</t>
  </si>
  <si>
    <t>Jupiá - 440kV</t>
  </si>
  <si>
    <t>JUPIA-UHE005</t>
  </si>
  <si>
    <t>Jupiá - 138kV</t>
  </si>
  <si>
    <t>JUPI--UHE001</t>
  </si>
  <si>
    <t>Porto Primavera</t>
  </si>
  <si>
    <t>PPRIMAUHE006</t>
  </si>
  <si>
    <t>Itaipú - 60HZ</t>
  </si>
  <si>
    <t>PR</t>
  </si>
  <si>
    <t>Bacia do Paraná - Itaipu</t>
  </si>
  <si>
    <t>IPU-60UHE006</t>
  </si>
  <si>
    <t>Itaipú - 50Hz</t>
  </si>
  <si>
    <t>IPU-50UHE009</t>
  </si>
  <si>
    <t>Jurumirim</t>
  </si>
  <si>
    <t>Rio Paranapanema</t>
  </si>
  <si>
    <t>Bacia do Paranapanema</t>
  </si>
  <si>
    <t>Alto Paranapanema - SP</t>
  </si>
  <si>
    <t>JURUMIUHE001</t>
  </si>
  <si>
    <t>Pirajú</t>
  </si>
  <si>
    <t>PIRAJUUHE001</t>
  </si>
  <si>
    <t>Chavantes</t>
  </si>
  <si>
    <t>SP/PR</t>
  </si>
  <si>
    <t>CHAVANUHE002</t>
  </si>
  <si>
    <t>Ourinhos</t>
  </si>
  <si>
    <t>Sistema de 88kV do Paranapanema - SP</t>
  </si>
  <si>
    <t>OURIN-UHE002</t>
  </si>
  <si>
    <t>Salto Grande (L. N. Garcez)</t>
  </si>
  <si>
    <t>S.GRD-UHE003</t>
  </si>
  <si>
    <t>Canoas II</t>
  </si>
  <si>
    <t>CANOA2UHE002</t>
  </si>
  <si>
    <t>Canoas I</t>
  </si>
  <si>
    <t>CANOA1UHE002</t>
  </si>
  <si>
    <r>
      <t xml:space="preserve">Capivara </t>
    </r>
    <r>
      <rPr>
        <sz val="12"/>
        <color rgb="FFFF0000"/>
        <rFont val="Times New Roman"/>
        <family val="1"/>
      </rPr>
      <t>G5</t>
    </r>
  </si>
  <si>
    <t>CAPIVAUHE003</t>
  </si>
  <si>
    <t>Taquaruçu</t>
  </si>
  <si>
    <t>TAQUARUHE003</t>
  </si>
  <si>
    <t>Rosana (Barra deve ser eliminada dos casos)</t>
  </si>
  <si>
    <t>0,1</t>
  </si>
  <si>
    <t>Rosana</t>
  </si>
  <si>
    <t>ROSAN1UHE003</t>
  </si>
  <si>
    <t>Jaime Canet Júnior (Mauá)</t>
  </si>
  <si>
    <t>Rio Tibagi</t>
  </si>
  <si>
    <t>Norte do Paraná</t>
  </si>
  <si>
    <t>MAUA--UHE003</t>
  </si>
  <si>
    <t>PCH Salto Mauá</t>
  </si>
  <si>
    <t>MAUA--PCH002</t>
  </si>
  <si>
    <t>Barra Bonita</t>
  </si>
  <si>
    <t>Rio Tiête</t>
  </si>
  <si>
    <t>Bacia do Tietê</t>
  </si>
  <si>
    <t>BBONITUHE001</t>
  </si>
  <si>
    <t>Bariri- A</t>
  </si>
  <si>
    <t>BARIRIUHE002</t>
  </si>
  <si>
    <t>Bariri- B</t>
  </si>
  <si>
    <t>BARIR2UHE001</t>
  </si>
  <si>
    <t>Ibitinga</t>
  </si>
  <si>
    <t>Médio Tietê - SP</t>
  </si>
  <si>
    <t>IBITINUHE002</t>
  </si>
  <si>
    <t>Promissão</t>
  </si>
  <si>
    <t>PROMISUHE002</t>
  </si>
  <si>
    <t>Nova Avanhandava</t>
  </si>
  <si>
    <t>N.AVANUHE002</t>
  </si>
  <si>
    <t>Três Irmãos</t>
  </si>
  <si>
    <t>3IRMAOUHE002</t>
  </si>
  <si>
    <t>Henry Borden</t>
  </si>
  <si>
    <t>Rio Cubatão</t>
  </si>
  <si>
    <t>HBORD1UHE001</t>
  </si>
  <si>
    <t>HBORD2UHE001</t>
  </si>
  <si>
    <t>HBORD3UHE001</t>
  </si>
  <si>
    <t>HBORD4UHE001</t>
  </si>
  <si>
    <t>HBORD8UHE001</t>
  </si>
  <si>
    <t>HBORD9UHE001</t>
  </si>
  <si>
    <t>Jaguari</t>
  </si>
  <si>
    <t>Rio Jaguari</t>
  </si>
  <si>
    <t>P. do Sul / R. das Lajes / Piraí</t>
  </si>
  <si>
    <t>Vale do Paraíba do Sul - SP</t>
  </si>
  <si>
    <t>JAGUA-UHE001</t>
  </si>
  <si>
    <t>Paraibuna</t>
  </si>
  <si>
    <t>Rio Paraíba do Sul</t>
  </si>
  <si>
    <t>PARAIBUHE001</t>
  </si>
  <si>
    <t>Santa Branca</t>
  </si>
  <si>
    <t>S.BRANUHE002</t>
  </si>
  <si>
    <t>Funil 1</t>
  </si>
  <si>
    <t>RJ</t>
  </si>
  <si>
    <t>FUNIL-UHE002</t>
  </si>
  <si>
    <t xml:space="preserve">Simplício </t>
  </si>
  <si>
    <t>RJ/MG</t>
  </si>
  <si>
    <t>SIMPL-UHE001</t>
  </si>
  <si>
    <t xml:space="preserve">Ilhas dos Pombos </t>
  </si>
  <si>
    <t>I.POMBUHE002</t>
  </si>
  <si>
    <t>Barra do Braúna</t>
  </si>
  <si>
    <t>Rio Pomba</t>
  </si>
  <si>
    <t>BRAU--PCH138</t>
  </si>
  <si>
    <t>Suíça</t>
  </si>
  <si>
    <t>ES</t>
  </si>
  <si>
    <t>Rio Santa Maria</t>
  </si>
  <si>
    <t>SUICA-UHE001</t>
  </si>
  <si>
    <t>Rosal</t>
  </si>
  <si>
    <t>RJ/ES</t>
  </si>
  <si>
    <t>Rio Itabapoana</t>
  </si>
  <si>
    <t>ROSAL-UHE002</t>
  </si>
  <si>
    <t>Picada</t>
  </si>
  <si>
    <t>Rio do Peixe</t>
  </si>
  <si>
    <t>Região Central - MG</t>
  </si>
  <si>
    <t>PIDACAUHE002</t>
  </si>
  <si>
    <t>Sobragi</t>
  </si>
  <si>
    <t>Rio Paraibúna</t>
  </si>
  <si>
    <t>SOBRAGUHE003</t>
  </si>
  <si>
    <t>Fontes</t>
  </si>
  <si>
    <t>Ribeirão das Lajes</t>
  </si>
  <si>
    <t>FONTE1UHE001</t>
  </si>
  <si>
    <t>FONTE2UHE002</t>
  </si>
  <si>
    <t>Pereira Passos</t>
  </si>
  <si>
    <t>PPASSOUHE001</t>
  </si>
  <si>
    <t>Nilo Peçanha</t>
  </si>
  <si>
    <t>Rio Piraí</t>
  </si>
  <si>
    <t>NPECA1UHE002</t>
  </si>
  <si>
    <t>NPECA2UHE002</t>
  </si>
  <si>
    <t xml:space="preserve">Risoleta Neves (Candonga) </t>
  </si>
  <si>
    <t>Rio Doce</t>
  </si>
  <si>
    <t>CANDONUHE002</t>
  </si>
  <si>
    <t>Guilman Amorim</t>
  </si>
  <si>
    <t>Rio Piracicaba</t>
  </si>
  <si>
    <t>GUILMAUHE002</t>
  </si>
  <si>
    <t>Sá Carvalho</t>
  </si>
  <si>
    <t>SACARVUHE004</t>
  </si>
  <si>
    <t xml:space="preserve">Salto Grande   </t>
  </si>
  <si>
    <t>Rio Santo Antônio</t>
  </si>
  <si>
    <t>SGRANDUHE004</t>
  </si>
  <si>
    <t>Porto Estrela</t>
  </si>
  <si>
    <t>PESTREUHE001</t>
  </si>
  <si>
    <t>Baguari</t>
  </si>
  <si>
    <t>BAGUARUHE002</t>
  </si>
  <si>
    <t>Aimorés</t>
  </si>
  <si>
    <t>Região Leste - MG</t>
  </si>
  <si>
    <t>AIMOREUHE001</t>
  </si>
  <si>
    <t>Mascarenhas</t>
  </si>
  <si>
    <t>Espírito Santo</t>
  </si>
  <si>
    <t>MASCA-UHE003</t>
  </si>
  <si>
    <t>Santa Clara MG</t>
  </si>
  <si>
    <t>MG/BA</t>
  </si>
  <si>
    <t>Rio Mucuri</t>
  </si>
  <si>
    <t>S.CLARUHE002</t>
  </si>
  <si>
    <t>Irapé</t>
  </si>
  <si>
    <t>Rio Jequitinhonha</t>
  </si>
  <si>
    <t>Região Norte - MG</t>
  </si>
  <si>
    <t>IRAPE-UHE001</t>
  </si>
  <si>
    <t>Itapebi</t>
  </si>
  <si>
    <t>BA</t>
  </si>
  <si>
    <t>NE</t>
  </si>
  <si>
    <t>Sistema de 230kV do Nordeste</t>
  </si>
  <si>
    <t>ITAPEBUHE000</t>
  </si>
  <si>
    <t>Pedra do Cavalo</t>
  </si>
  <si>
    <t>Rio Paraguaçu</t>
  </si>
  <si>
    <t>P.CAVAUHE000</t>
  </si>
  <si>
    <t>Queimado</t>
  </si>
  <si>
    <t>Rio Preto</t>
  </si>
  <si>
    <t>Rio São Francisco</t>
  </si>
  <si>
    <t>QUEIMAUHE003</t>
  </si>
  <si>
    <t>Retiro Baixo</t>
  </si>
  <si>
    <t>Rio Paraopeba</t>
  </si>
  <si>
    <t>R.BAIXUHE001</t>
  </si>
  <si>
    <t>Três Marias</t>
  </si>
  <si>
    <t>T.MAR-UHE002</t>
  </si>
  <si>
    <t>Sobradinho</t>
  </si>
  <si>
    <t>Sistema de 500kV do Nordeste</t>
  </si>
  <si>
    <t>SOBRADUHE002</t>
  </si>
  <si>
    <t>Luiz Gonzaga G1 (Itaparica)</t>
  </si>
  <si>
    <t>PE</t>
  </si>
  <si>
    <t>LGONG1UHE001</t>
  </si>
  <si>
    <t>Luiz Gonzaga G2 (Itaparica)</t>
  </si>
  <si>
    <t>LGONG4UHE001</t>
  </si>
  <si>
    <t>A.SalesG1</t>
  </si>
  <si>
    <t>ASALG1UHE000</t>
  </si>
  <si>
    <t>A Sales G2</t>
  </si>
  <si>
    <t>ASALG3UHE000</t>
  </si>
  <si>
    <t>Paulo Afonso 1G1</t>
  </si>
  <si>
    <t>PAFO1GUHE000</t>
  </si>
  <si>
    <t>Paulo Afonso 2G1</t>
  </si>
  <si>
    <t>PAF2G1UHE000</t>
  </si>
  <si>
    <t>Paulo Afonso 2G2</t>
  </si>
  <si>
    <t>PAF2G2UHE000</t>
  </si>
  <si>
    <t>Paulo Afonso 2G3</t>
  </si>
  <si>
    <t>PAF2G3UHE000</t>
  </si>
  <si>
    <t>Paulo Afonso 2G4</t>
  </si>
  <si>
    <t>PAF2G4UHE000</t>
  </si>
  <si>
    <t>Paulo Afonso 2G5</t>
  </si>
  <si>
    <t>PAF2G5UHE000</t>
  </si>
  <si>
    <t>Paulo Afonso 2G6</t>
  </si>
  <si>
    <t>PAF2G6UHE000</t>
  </si>
  <si>
    <t>Paulo Afonso 3G1</t>
  </si>
  <si>
    <t>PAF3G1UHE000</t>
  </si>
  <si>
    <t>Paulo Afonso 3G2</t>
  </si>
  <si>
    <t>PAF3G2UHE000</t>
  </si>
  <si>
    <t>Paulo Afonso 4G1</t>
  </si>
  <si>
    <t>PAFO-4UHE003</t>
  </si>
  <si>
    <t>Xingó</t>
  </si>
  <si>
    <t>AL</t>
  </si>
  <si>
    <t>XINGO-UHE002</t>
  </si>
  <si>
    <t>Boa Esperança</t>
  </si>
  <si>
    <t>PI</t>
  </si>
  <si>
    <t>Rio Parnaíba</t>
  </si>
  <si>
    <t>UBE1--UHE000</t>
  </si>
  <si>
    <t>UBE2--UHE002</t>
  </si>
  <si>
    <t>Serra da Mesa</t>
  </si>
  <si>
    <t>Rio Tocantins</t>
  </si>
  <si>
    <t>S.MESAUHE002</t>
  </si>
  <si>
    <t>Cana Brava</t>
  </si>
  <si>
    <t>CBRAV-UHE003</t>
  </si>
  <si>
    <t>São Salvador</t>
  </si>
  <si>
    <t>TO</t>
  </si>
  <si>
    <t>Área GO/BR</t>
  </si>
  <si>
    <t>SSALV-UHE002</t>
  </si>
  <si>
    <t>Peixe Angical</t>
  </si>
  <si>
    <t>PEIXEAUHE003</t>
  </si>
  <si>
    <t>Lajeado</t>
  </si>
  <si>
    <t>LAJEADUHE003</t>
  </si>
  <si>
    <t>Estreito</t>
  </si>
  <si>
    <t>MA</t>
  </si>
  <si>
    <t>N</t>
  </si>
  <si>
    <t>ESTREIUHE003</t>
  </si>
  <si>
    <t>Tucurui I</t>
  </si>
  <si>
    <t>PA</t>
  </si>
  <si>
    <t>Sistema Norte</t>
  </si>
  <si>
    <t>TUCUR1UHE003</t>
  </si>
  <si>
    <t>TUCUR2UHE000</t>
  </si>
  <si>
    <t>TUCUR3UHE002</t>
  </si>
  <si>
    <t>Tucurui II</t>
  </si>
  <si>
    <t>TUCUR5UHE002</t>
  </si>
  <si>
    <t>TUCUR6UHE003</t>
  </si>
  <si>
    <t>Pimental (Bloco 1)</t>
  </si>
  <si>
    <t>Rio Xingú</t>
  </si>
  <si>
    <t>Bacia do Amazonas</t>
  </si>
  <si>
    <t>PMTBL1UHE001</t>
  </si>
  <si>
    <t>Pimental (Bloco 2)</t>
  </si>
  <si>
    <t>PMTBL2UHE001</t>
  </si>
  <si>
    <t>Pimental (Bloco 3)</t>
  </si>
  <si>
    <t>PMTBL3UHE001</t>
  </si>
  <si>
    <t>Belo Monte</t>
  </si>
  <si>
    <t>BMONTEUHE009</t>
  </si>
  <si>
    <t>Balbina</t>
  </si>
  <si>
    <t>AM</t>
  </si>
  <si>
    <t>Rio Uatumã</t>
  </si>
  <si>
    <t>BALBEQUHE002</t>
  </si>
  <si>
    <t>St. Antônio do Jari</t>
  </si>
  <si>
    <t>PA/AP</t>
  </si>
  <si>
    <t>Rio Jari</t>
  </si>
  <si>
    <t>SA.JARUHE002</t>
  </si>
  <si>
    <t>Cachoeira Caldeirão</t>
  </si>
  <si>
    <t>AP</t>
  </si>
  <si>
    <t>CALDEIUHE001</t>
  </si>
  <si>
    <t>Coaracy Nunes 1</t>
  </si>
  <si>
    <t>CNUNE1UHE001</t>
  </si>
  <si>
    <t>Coaracy Nunes 2</t>
  </si>
  <si>
    <t>CNUNE2UHE001</t>
  </si>
  <si>
    <t>Ferreira Gomes</t>
  </si>
  <si>
    <t>FGOMESUHE001</t>
  </si>
  <si>
    <t>St. Antônio  (Adicional)</t>
  </si>
  <si>
    <t>RO</t>
  </si>
  <si>
    <t>Rio Madeira</t>
  </si>
  <si>
    <t>SA-AD1UHE001</t>
  </si>
  <si>
    <t>St. Antônio  (Adicional 2)</t>
  </si>
  <si>
    <t>SA-AD2UHE001</t>
  </si>
  <si>
    <t>St. Antônio  (Margem Direita)</t>
  </si>
  <si>
    <t>SA-MD-UHE006</t>
  </si>
  <si>
    <t>St. Antônio  (Leito do Rio)</t>
  </si>
  <si>
    <t>SA-LR-UHE009</t>
  </si>
  <si>
    <t>St. Antônio  (Margem Esquerda)</t>
  </si>
  <si>
    <t>SA-ME-UHE018</t>
  </si>
  <si>
    <t>Jirau (Margem Direita)</t>
  </si>
  <si>
    <t>JIR-MDUHE021</t>
  </si>
  <si>
    <t>Jirau (Margem Esquerda)</t>
  </si>
  <si>
    <t>JIR-MEUHE017</t>
  </si>
  <si>
    <t>Samuel</t>
  </si>
  <si>
    <t>Rio Jamari</t>
  </si>
  <si>
    <t>SAMU1-UHE002</t>
  </si>
  <si>
    <t>Rondon II</t>
  </si>
  <si>
    <t>Rio Jiparaná</t>
  </si>
  <si>
    <t>ROND2-UHE002</t>
  </si>
  <si>
    <t>Dardanelos</t>
  </si>
  <si>
    <t>MT</t>
  </si>
  <si>
    <t>Rio Aripuanã</t>
  </si>
  <si>
    <t>DARDA1UHE001</t>
  </si>
  <si>
    <t>DARDA2UHE001</t>
  </si>
  <si>
    <t>Juruena</t>
  </si>
  <si>
    <t>Rio Juruena</t>
  </si>
  <si>
    <t>JURUENPCH000</t>
  </si>
  <si>
    <t>Sinop</t>
  </si>
  <si>
    <t>Rio Teles Pires</t>
  </si>
  <si>
    <t>SINOP-UHE002</t>
  </si>
  <si>
    <t>Colíder</t>
  </si>
  <si>
    <t>COLID-UHE003</t>
  </si>
  <si>
    <t>Teles Pires</t>
  </si>
  <si>
    <t>TPIRESUHE005</t>
  </si>
  <si>
    <t>São Manoel</t>
  </si>
  <si>
    <t>SMANO-UHE004</t>
  </si>
  <si>
    <t>Guaporé</t>
  </si>
  <si>
    <t>Rio Guaporé</t>
  </si>
  <si>
    <t>GUAPO-UHE002</t>
  </si>
  <si>
    <t>Jauru</t>
  </si>
  <si>
    <t>Rio Jauru</t>
  </si>
  <si>
    <t>Bacia do Paraguai</t>
  </si>
  <si>
    <t>JAURU-UHE002</t>
  </si>
  <si>
    <t>Manso</t>
  </si>
  <si>
    <t>Rio Manso</t>
  </si>
  <si>
    <t>MANSO-UHE001</t>
  </si>
  <si>
    <t>Itiquira I</t>
  </si>
  <si>
    <t>Rio Itiquira</t>
  </si>
  <si>
    <t>ITIQ-1UHE002</t>
  </si>
  <si>
    <t>Itiquira II</t>
  </si>
  <si>
    <t>ITIQ-2UHE002</t>
  </si>
  <si>
    <t>Ponte de Pedra</t>
  </si>
  <si>
    <t>Rio Correntes</t>
  </si>
  <si>
    <t>P.PEDRUHE003</t>
  </si>
  <si>
    <r>
      <t xml:space="preserve">Gov. Bento Munhoz (Foz do Areia) </t>
    </r>
    <r>
      <rPr>
        <sz val="12"/>
        <color rgb="FFFF0000"/>
        <rFont val="Times New Roman"/>
        <family val="1"/>
      </rPr>
      <t>G1</t>
    </r>
  </si>
  <si>
    <t>Rio Iguaçu</t>
  </si>
  <si>
    <t>Bacia do Iguaçu</t>
  </si>
  <si>
    <t>Sistema de 500kV do Sul</t>
  </si>
  <si>
    <t>GBMUNHUHE004</t>
  </si>
  <si>
    <r>
      <t>Gov. Ney Braga (Segredo)</t>
    </r>
    <r>
      <rPr>
        <sz val="12"/>
        <color rgb="FFFF0000"/>
        <rFont val="Times New Roman"/>
        <family val="1"/>
      </rPr>
      <t xml:space="preserve"> G1</t>
    </r>
  </si>
  <si>
    <t>GNBRAGUHE004</t>
  </si>
  <si>
    <r>
      <t xml:space="preserve">Salto Santiago </t>
    </r>
    <r>
      <rPr>
        <sz val="12"/>
        <color rgb="FFFF0000"/>
        <rFont val="Times New Roman"/>
        <family val="1"/>
      </rPr>
      <t>G1</t>
    </r>
  </si>
  <si>
    <t>SSANTIUHE004</t>
  </si>
  <si>
    <r>
      <t xml:space="preserve">S. Osorio 1 e 4 </t>
    </r>
    <r>
      <rPr>
        <sz val="12"/>
        <color rgb="FFFF0000"/>
        <rFont val="Times New Roman"/>
        <family val="1"/>
      </rPr>
      <t>G3</t>
    </r>
  </si>
  <si>
    <t>SOSO14UHE004</t>
  </si>
  <si>
    <r>
      <t xml:space="preserve">S. Osorio 5 e 6 </t>
    </r>
    <r>
      <rPr>
        <sz val="12"/>
        <color rgb="FFFF0000"/>
        <rFont val="Times New Roman"/>
        <family val="1"/>
      </rPr>
      <t>G3</t>
    </r>
  </si>
  <si>
    <t>SOSO56UHE002</t>
  </si>
  <si>
    <r>
      <t xml:space="preserve">Gov. José Richa (Salto Caxias) </t>
    </r>
    <r>
      <rPr>
        <sz val="12"/>
        <color rgb="FFFF0000"/>
        <rFont val="Times New Roman"/>
        <family val="1"/>
      </rPr>
      <t>G1</t>
    </r>
  </si>
  <si>
    <t>GJRICHUHE004</t>
  </si>
  <si>
    <t>Baixo Iguaçu</t>
  </si>
  <si>
    <t>SE Cascavel Oeste 230 kV</t>
  </si>
  <si>
    <t>BAIGUAUHE003</t>
  </si>
  <si>
    <t>Santa Clara PR</t>
  </si>
  <si>
    <t>Rio Jordão</t>
  </si>
  <si>
    <t>SCLARAUHE002</t>
  </si>
  <si>
    <t>Fundão</t>
  </si>
  <si>
    <t>FUNDAOUHE002</t>
  </si>
  <si>
    <t>São Roque</t>
  </si>
  <si>
    <t>SC</t>
  </si>
  <si>
    <t>Rio Canoas</t>
  </si>
  <si>
    <t>Rio Uruguai</t>
  </si>
  <si>
    <t>SROQUEUHE002</t>
  </si>
  <si>
    <t>Garibaldi</t>
  </si>
  <si>
    <t>GARIBAUHE002</t>
  </si>
  <si>
    <r>
      <t xml:space="preserve">Campos Novos </t>
    </r>
    <r>
      <rPr>
        <sz val="12"/>
        <color rgb="FFFF0000"/>
        <rFont val="Times New Roman"/>
        <family val="1"/>
      </rPr>
      <t>G3</t>
    </r>
  </si>
  <si>
    <t>CNOVOSUHE003</t>
  </si>
  <si>
    <r>
      <t xml:space="preserve">Barra Grande </t>
    </r>
    <r>
      <rPr>
        <sz val="12"/>
        <color rgb="FFFF0000"/>
        <rFont val="Times New Roman"/>
        <family val="1"/>
      </rPr>
      <t>G3</t>
    </r>
  </si>
  <si>
    <t>Rio Pelotas</t>
  </si>
  <si>
    <t>BGRANDUHE003</t>
  </si>
  <si>
    <r>
      <t xml:space="preserve">Machadinho </t>
    </r>
    <r>
      <rPr>
        <sz val="12"/>
        <color rgb="FFFF0000"/>
        <rFont val="Times New Roman"/>
        <family val="1"/>
      </rPr>
      <t>G2</t>
    </r>
  </si>
  <si>
    <t>MACHADUHE003</t>
  </si>
  <si>
    <r>
      <t xml:space="preserve">Itá </t>
    </r>
    <r>
      <rPr>
        <sz val="12"/>
        <color rgb="FFFF0000"/>
        <rFont val="Times New Roman"/>
        <family val="1"/>
      </rPr>
      <t>G2</t>
    </r>
  </si>
  <si>
    <t>ITA---UHE005</t>
  </si>
  <si>
    <t>Passo Fundo</t>
  </si>
  <si>
    <t>RS</t>
  </si>
  <si>
    <t>Rio Passo Fundo</t>
  </si>
  <si>
    <t>PFUNDOUHE002</t>
  </si>
  <si>
    <t>Monjolinho (Alzir Antunes)</t>
  </si>
  <si>
    <t>MONJOLUHE002</t>
  </si>
  <si>
    <r>
      <t xml:space="preserve">Foz de Chapecó </t>
    </r>
    <r>
      <rPr>
        <sz val="12"/>
        <color rgb="FFFF0000"/>
        <rFont val="Times New Roman"/>
        <family val="1"/>
      </rPr>
      <t>G3</t>
    </r>
  </si>
  <si>
    <t>FCHAPEUHE004</t>
  </si>
  <si>
    <t>Quebra Queixo</t>
  </si>
  <si>
    <t>Rio Chapecó</t>
  </si>
  <si>
    <t>QQUEIXUHE003</t>
  </si>
  <si>
    <t>São José</t>
  </si>
  <si>
    <t>Rio Ijuí</t>
  </si>
  <si>
    <t>SJOSE-UHE001</t>
  </si>
  <si>
    <t>Passo São João</t>
  </si>
  <si>
    <t>PSJOAOUHE001</t>
  </si>
  <si>
    <t>Passo Real</t>
  </si>
  <si>
    <t>Rio Jacuí</t>
  </si>
  <si>
    <t>PREAL-UHE002</t>
  </si>
  <si>
    <t>Jacuí</t>
  </si>
  <si>
    <t>JACUI-UHE006</t>
  </si>
  <si>
    <t>Itaúba</t>
  </si>
  <si>
    <t>ITAUBAUHE004</t>
  </si>
  <si>
    <t>Dona Francisca</t>
  </si>
  <si>
    <t>DFRANCUHE001</t>
  </si>
  <si>
    <t>Castro Alves</t>
  </si>
  <si>
    <t>Rio Taquari-Antas</t>
  </si>
  <si>
    <t>CALVESUHE001</t>
  </si>
  <si>
    <t>Monte Claro</t>
  </si>
  <si>
    <t>MCLAROUHE001</t>
  </si>
  <si>
    <t>14 de Julho</t>
  </si>
  <si>
    <t>14JUL-UHE001</t>
  </si>
  <si>
    <t>Canastra 1</t>
  </si>
  <si>
    <t>CAN-G1UHE001</t>
  </si>
  <si>
    <t>Canastra 2</t>
  </si>
  <si>
    <t>CAN-G2UHE001</t>
  </si>
  <si>
    <t>Salto Pilão</t>
  </si>
  <si>
    <t>Rio Itajaí</t>
  </si>
  <si>
    <t>SPILAOUHE002</t>
  </si>
  <si>
    <r>
      <t xml:space="preserve">Gov. Parigot de Souza (C. Cachoeira) </t>
    </r>
    <r>
      <rPr>
        <sz val="12"/>
        <color rgb="FFFF0000"/>
        <rFont val="Times New Roman"/>
        <family val="1"/>
      </rPr>
      <t>G4</t>
    </r>
  </si>
  <si>
    <t>Rio Capivari</t>
  </si>
  <si>
    <t>GPSOUZUHE004</t>
  </si>
  <si>
    <t>Angra 2</t>
  </si>
  <si>
    <t>Nuclear</t>
  </si>
  <si>
    <t>Rio de Janeiro</t>
  </si>
  <si>
    <t>ANGRA2UNE001</t>
  </si>
  <si>
    <t>Angra 1</t>
  </si>
  <si>
    <t>ANGRA1UNE001</t>
  </si>
  <si>
    <t>Marlim Azul</t>
  </si>
  <si>
    <t>Gás Natural</t>
  </si>
  <si>
    <t>MAZL-GUTE001</t>
  </si>
  <si>
    <t>Baixada Fluminense (gás)</t>
  </si>
  <si>
    <t>BFLUMGUTE000</t>
  </si>
  <si>
    <t>Baixada Fluminense (vapor)</t>
  </si>
  <si>
    <t>BFLUMVUTE000</t>
  </si>
  <si>
    <t>Norte Fluminense (gás)</t>
  </si>
  <si>
    <t>NFLU-GUTE000</t>
  </si>
  <si>
    <t>Norte Fluminense (vapor)</t>
  </si>
  <si>
    <t>NFLU-VUTE000</t>
  </si>
  <si>
    <t>Santa Cruz</t>
  </si>
  <si>
    <t>GNL</t>
  </si>
  <si>
    <t>SCRU16UTE000</t>
  </si>
  <si>
    <t>Santa Cruz (Vapor)</t>
  </si>
  <si>
    <t>SCRU31UTE000</t>
  </si>
  <si>
    <t>GNA II (Porto do Açu III) (gás)</t>
  </si>
  <si>
    <t>GNA2G-UTE000</t>
  </si>
  <si>
    <t>GNA II (Porto do Açu III) (vapor)</t>
  </si>
  <si>
    <t>GNA2V-UTE000</t>
  </si>
  <si>
    <t>Linhares</t>
  </si>
  <si>
    <t>LINH--UTE000</t>
  </si>
  <si>
    <t>GNA I (Novo Tempo) (gás)</t>
  </si>
  <si>
    <t>GNA1G-UTE000</t>
  </si>
  <si>
    <t>GNA I (Novo Tempo) (vapor)</t>
  </si>
  <si>
    <t>GNA1V-UTE000</t>
  </si>
  <si>
    <t>Do Atlântico (TKCSA) (gás)</t>
  </si>
  <si>
    <t>CSA-G-UTE001</t>
  </si>
  <si>
    <t>Do Atlântico (TKCSA) (vapor)</t>
  </si>
  <si>
    <t>CSA-V-UTE001</t>
  </si>
  <si>
    <t>CSA-G2UTE001</t>
  </si>
  <si>
    <t>Termorio (Gov. Leonel Brizola)</t>
  </si>
  <si>
    <t>TRG11-UTE000</t>
  </si>
  <si>
    <t>TRG12-UTE000</t>
  </si>
  <si>
    <t>TRV18-UTE000</t>
  </si>
  <si>
    <t>TRV28-UTE000</t>
  </si>
  <si>
    <t>TRG21-UTE000</t>
  </si>
  <si>
    <t>TRG22-UTE000</t>
  </si>
  <si>
    <t>TRG31-UTE000</t>
  </si>
  <si>
    <t>TRG32-UTE000</t>
  </si>
  <si>
    <t>TRV38-UTE000</t>
  </si>
  <si>
    <t>Cubatão (Euzébio Rocha) (gás)</t>
  </si>
  <si>
    <t>São Paulo</t>
  </si>
  <si>
    <t>CUBATGUTE000</t>
  </si>
  <si>
    <t>Cubatão (Euzébio Rocha) (vapor)</t>
  </si>
  <si>
    <t>CUBATVUTE000</t>
  </si>
  <si>
    <t>Ibirité (Aureliano Chaves) (gás)</t>
  </si>
  <si>
    <t>Minas Gerais</t>
  </si>
  <si>
    <t>IBIR-GUTE000</t>
  </si>
  <si>
    <t>Ibirité (Aureliano Chaves) (vapor)</t>
  </si>
  <si>
    <t>IBIRITUTE000</t>
  </si>
  <si>
    <t>PCS - Karkey 013</t>
  </si>
  <si>
    <t>KRK13AUTE001</t>
  </si>
  <si>
    <t>KRK13BUTE002</t>
  </si>
  <si>
    <t>PCS - Karkey 019</t>
  </si>
  <si>
    <t>KRK19AUTE001</t>
  </si>
  <si>
    <t>KRK19BUTE000</t>
  </si>
  <si>
    <t>Três Lagoas A (Luiz Carlos Prestes) (gás)</t>
  </si>
  <si>
    <t>TLGA-GUTE000</t>
  </si>
  <si>
    <t>Três Lagoas A (Luiz Carlos Prestes) (vapor)</t>
  </si>
  <si>
    <t>TLGA-VUTE000</t>
  </si>
  <si>
    <t>Três Lagoas B (Luiz Carlos Prestes) (gás)</t>
  </si>
  <si>
    <t>TLGB-GUTE000</t>
  </si>
  <si>
    <t>Três Lagoas B (Luiz Carlos Prestes) (vapor)</t>
  </si>
  <si>
    <t>TLGB-VUTE000</t>
  </si>
  <si>
    <t>PCS - Porsud I</t>
  </si>
  <si>
    <t>PRSD1AUTE000</t>
  </si>
  <si>
    <t>PRSD1BUTE000</t>
  </si>
  <si>
    <t>PRSD1CUTE000</t>
  </si>
  <si>
    <t>PCS - Porsud II</t>
  </si>
  <si>
    <t>PRSD2-UTE000</t>
  </si>
  <si>
    <t>Juiz de Fora</t>
  </si>
  <si>
    <t>JFORA1UTE000</t>
  </si>
  <si>
    <t>JFORA-UTE000</t>
  </si>
  <si>
    <t>Seropédica (Barbosa Lima Sobrinho)</t>
  </si>
  <si>
    <t>SEROP-UTE000</t>
  </si>
  <si>
    <t>SEROP2UTE000</t>
  </si>
  <si>
    <t>PCS - Linhares (LORM - expansão)</t>
  </si>
  <si>
    <t>LORMEXUTE000</t>
  </si>
  <si>
    <t>PCS - Povoação 1</t>
  </si>
  <si>
    <t>POVGR1UTE000</t>
  </si>
  <si>
    <t>POVGR2UTE000</t>
  </si>
  <si>
    <t>PCS - Viana 1A (expansão)</t>
  </si>
  <si>
    <t>VNA1AEUTE000</t>
  </si>
  <si>
    <t>PCS - Viana 1B (expansão)</t>
  </si>
  <si>
    <t>VNA1BEUTE000</t>
  </si>
  <si>
    <t>PCS - Viana 2A (expansão)</t>
  </si>
  <si>
    <t>VNA2AEUTE000</t>
  </si>
  <si>
    <t>PCS - Viana 2B (expansão)</t>
  </si>
  <si>
    <t>VNA2BEXUT000</t>
  </si>
  <si>
    <t>Nova Piratininga 88kV (Fernando Gasparian)</t>
  </si>
  <si>
    <t>NPIRA2UTE000</t>
  </si>
  <si>
    <t>Nova Piratininga 230kV (Fernando Gasparian)</t>
  </si>
  <si>
    <t>NPIRA1UTE000</t>
  </si>
  <si>
    <t>Termomacaé (Mário Lago) (gás)</t>
  </si>
  <si>
    <t>TMACAGUTE000</t>
  </si>
  <si>
    <t>Termomacaé (Mário Lago) (vapor)</t>
  </si>
  <si>
    <t>TMACAVUTE000</t>
  </si>
  <si>
    <t>Viana A (representação antiga)</t>
  </si>
  <si>
    <t>87</t>
  </si>
  <si>
    <t>Óleo Diesel</t>
  </si>
  <si>
    <t>Viana B (representação antiga)</t>
  </si>
  <si>
    <t>Viana 1A (nova representação)</t>
  </si>
  <si>
    <t>VNA1A-UTE000</t>
  </si>
  <si>
    <t>Viana 1B (nova representação)</t>
  </si>
  <si>
    <t>VNA1B-UTE000</t>
  </si>
  <si>
    <t>Viana 2A (nova representação)</t>
  </si>
  <si>
    <t>VNA2A-UTE000</t>
  </si>
  <si>
    <t>Viana 2B (nova representação)</t>
  </si>
  <si>
    <t>VNA2B-UTE000</t>
  </si>
  <si>
    <t>Palmeiras de Goiás</t>
  </si>
  <si>
    <t>Goiás</t>
  </si>
  <si>
    <t>PALMEIUTE099</t>
  </si>
  <si>
    <t>TermoNorte II (gás)</t>
  </si>
  <si>
    <t>AC/RO</t>
  </si>
  <si>
    <t>T.N2-GUTE000</t>
  </si>
  <si>
    <t>TermoNorte II (vapor)</t>
  </si>
  <si>
    <t>T.N2-VUTE000</t>
  </si>
  <si>
    <t>Cuiabá (gás)</t>
  </si>
  <si>
    <t>Mato Grosso</t>
  </si>
  <si>
    <t>CBA-G-UTE000</t>
  </si>
  <si>
    <t>Cuiabá (vapor)</t>
  </si>
  <si>
    <t>CBA-V-UTE000</t>
  </si>
  <si>
    <t>Igarapé</t>
  </si>
  <si>
    <t>131</t>
  </si>
  <si>
    <t>Pampa Sul</t>
  </si>
  <si>
    <t>Carvão Mineral</t>
  </si>
  <si>
    <t>Rio Grande do Sul</t>
  </si>
  <si>
    <t>PAMPASUTE001</t>
  </si>
  <si>
    <t>Candiota 3</t>
  </si>
  <si>
    <t>CANDI3UTE001</t>
  </si>
  <si>
    <t>Jlacerda 7</t>
  </si>
  <si>
    <t>Santa Catarina</t>
  </si>
  <si>
    <t>JLA7C-UTE001</t>
  </si>
  <si>
    <t>Jlacerda 5 e 6</t>
  </si>
  <si>
    <t>JLA56BUTE001</t>
  </si>
  <si>
    <t>Jlacerda 3 e 4</t>
  </si>
  <si>
    <t>JLA34AUTE001</t>
  </si>
  <si>
    <t xml:space="preserve">Jlacerda 1  e 2 </t>
  </si>
  <si>
    <t>JLA12AUTE000</t>
  </si>
  <si>
    <t>Canoas (Sepé Tiaraju) (gás)</t>
  </si>
  <si>
    <t>CANO-GUTE000</t>
  </si>
  <si>
    <t>Canoas (Sepé Tiaraju) (vapor)</t>
  </si>
  <si>
    <t>CANO-VUTE000</t>
  </si>
  <si>
    <t>Araucaria (gás)</t>
  </si>
  <si>
    <t>Paraná</t>
  </si>
  <si>
    <t>ARAUCGUTE000</t>
  </si>
  <si>
    <t>Araucaria (vapor)</t>
  </si>
  <si>
    <t>ARAUCVUTE000</t>
  </si>
  <si>
    <t>Uruguaiana (gás)</t>
  </si>
  <si>
    <t>URUG-GUTE000</t>
  </si>
  <si>
    <t>Uruguaiana (vapor)</t>
  </si>
  <si>
    <t>URUG-VUTE000</t>
  </si>
  <si>
    <t>W.Arjona 1</t>
  </si>
  <si>
    <t>WARJO1UTE000</t>
  </si>
  <si>
    <t>W.Arjona 2</t>
  </si>
  <si>
    <t>WARJO2UTE000</t>
  </si>
  <si>
    <t>W.Arjona 3</t>
  </si>
  <si>
    <t>WARJO3UTE000</t>
  </si>
  <si>
    <t>W.Arjona 4</t>
  </si>
  <si>
    <t>WARJO4UTE000</t>
  </si>
  <si>
    <t>W.Arjona 5</t>
  </si>
  <si>
    <t>WARJO5UTE000</t>
  </si>
  <si>
    <t>Prosperidade III</t>
  </si>
  <si>
    <t>Bahia</t>
  </si>
  <si>
    <t>PROSP3UTE000</t>
  </si>
  <si>
    <t>Prosperidade II e IV</t>
  </si>
  <si>
    <t>PRP2E4UTE000</t>
  </si>
  <si>
    <t>Prosperidade I</t>
  </si>
  <si>
    <t>PROSP-UTE000</t>
  </si>
  <si>
    <t>Porto de Sergipe (gás)</t>
  </si>
  <si>
    <t>SE</t>
  </si>
  <si>
    <t>Sergipe</t>
  </si>
  <si>
    <t>PSE-G-UTE000</t>
  </si>
  <si>
    <t>Porto de Sergipe (vapor)</t>
  </si>
  <si>
    <t>PSE-V-UTE000</t>
  </si>
  <si>
    <t>Termopernambuco (gás)</t>
  </si>
  <si>
    <t>Pernambuco</t>
  </si>
  <si>
    <t>TERPEGUTE000</t>
  </si>
  <si>
    <t>Termopernambuco (vapor)</t>
  </si>
  <si>
    <t>TERPEVUTE000</t>
  </si>
  <si>
    <t>Porto Pecém I</t>
  </si>
  <si>
    <t>CE</t>
  </si>
  <si>
    <t>Ceará</t>
  </si>
  <si>
    <t>PPECEMUTE000</t>
  </si>
  <si>
    <t>Porto Pecém II</t>
  </si>
  <si>
    <t>PPD---UTE000</t>
  </si>
  <si>
    <t>Termobahia G1 (Celso Furtado)</t>
  </si>
  <si>
    <t>CFURTAUTE000</t>
  </si>
  <si>
    <t>Vale do Açú (Jesus Soares Pereira)</t>
  </si>
  <si>
    <t>RN</t>
  </si>
  <si>
    <t>Rio Grande do Norte</t>
  </si>
  <si>
    <t>UJSP--UTE000</t>
  </si>
  <si>
    <t>Portocém I</t>
  </si>
  <si>
    <t>1572</t>
  </si>
  <si>
    <t>Termoceará (gás) (Sen. Carlos Jereissati)</t>
  </si>
  <si>
    <t>TERMOCUTE000</t>
  </si>
  <si>
    <t>Pernambuco III</t>
  </si>
  <si>
    <t>PEIII-UTE000</t>
  </si>
  <si>
    <t>Maracanaú</t>
  </si>
  <si>
    <t>MRU---UTE000</t>
  </si>
  <si>
    <t>Termocabo</t>
  </si>
  <si>
    <t>TCB---UTE000</t>
  </si>
  <si>
    <t>Termonordeste</t>
  </si>
  <si>
    <t>PB</t>
  </si>
  <si>
    <t>Paraíba</t>
  </si>
  <si>
    <t>UTENE-UTE000</t>
  </si>
  <si>
    <t>Termoparaíba</t>
  </si>
  <si>
    <t>UTEPB-UTE000</t>
  </si>
  <si>
    <t>Campina Grande</t>
  </si>
  <si>
    <t>CGRAN-UTE000</t>
  </si>
  <si>
    <t>Suape II</t>
  </si>
  <si>
    <t>SUP1--UTE000</t>
  </si>
  <si>
    <t>SUP2--UTE000</t>
  </si>
  <si>
    <t>SUP3--UTE000</t>
  </si>
  <si>
    <t>SUP4--UTE000</t>
  </si>
  <si>
    <t>SUP5--UTE000</t>
  </si>
  <si>
    <t>SUP6--UTE000</t>
  </si>
  <si>
    <t>Global I</t>
  </si>
  <si>
    <t>GLOBA1UTE000</t>
  </si>
  <si>
    <t>Global II</t>
  </si>
  <si>
    <t>GLOBA2UTE000</t>
  </si>
  <si>
    <t>Camaçari Muricy II</t>
  </si>
  <si>
    <t>CAMAMYUTE000</t>
  </si>
  <si>
    <t>Pecém II</t>
  </si>
  <si>
    <t>UTEPCDUTE000</t>
  </si>
  <si>
    <t>Petrolina</t>
  </si>
  <si>
    <t>PET---UTE000</t>
  </si>
  <si>
    <t>Potiguar III</t>
  </si>
  <si>
    <t>POT3--UTE000</t>
  </si>
  <si>
    <t xml:space="preserve">Potiguar </t>
  </si>
  <si>
    <t>POT1--UTE000</t>
  </si>
  <si>
    <t>Termocamaçari (Rômulo Almeida - FAFEN)</t>
  </si>
  <si>
    <t>CMD-BP-BA069</t>
  </si>
  <si>
    <t>Parnaíba V</t>
  </si>
  <si>
    <t>Maranhão</t>
  </si>
  <si>
    <t>PARNV-UTE001</t>
  </si>
  <si>
    <t>Maranhão III (gás)</t>
  </si>
  <si>
    <t>MAR3-GUTE002</t>
  </si>
  <si>
    <t>Maranhão III (vapor)</t>
  </si>
  <si>
    <t>MAR3-VUTE001</t>
  </si>
  <si>
    <t>Maranhão IV</t>
  </si>
  <si>
    <t>MARIV-UTE000</t>
  </si>
  <si>
    <t>Maranhão V</t>
  </si>
  <si>
    <t>MARV--UTE000</t>
  </si>
  <si>
    <t>Parnaíba IV</t>
  </si>
  <si>
    <t>PARNIVUTE000</t>
  </si>
  <si>
    <t>Novo Tempo Barcarena</t>
  </si>
  <si>
    <t>Pará</t>
  </si>
  <si>
    <t>NTBARCUTE000</t>
  </si>
  <si>
    <t>Nova Venécia 2</t>
  </si>
  <si>
    <t>NVNC2-UTE000</t>
  </si>
  <si>
    <t>Nova Venécia 2 (UG03)</t>
  </si>
  <si>
    <t>NV2G3-UTE000</t>
  </si>
  <si>
    <t>Porto Itaqui</t>
  </si>
  <si>
    <t>PITAQUUTE000</t>
  </si>
  <si>
    <t>Azulão</t>
  </si>
  <si>
    <t>360</t>
  </si>
  <si>
    <t>Amazonas</t>
  </si>
  <si>
    <t>Azulão II</t>
  </si>
  <si>
    <t>Azulão IV</t>
  </si>
  <si>
    <t>230</t>
  </si>
  <si>
    <t>Manaus I</t>
  </si>
  <si>
    <t>155</t>
  </si>
  <si>
    <t>Geramar I (Tocantinópolis)</t>
  </si>
  <si>
    <t>TOC.I1UTE000</t>
  </si>
  <si>
    <t>TOC.I2UTE000</t>
  </si>
  <si>
    <t>Geramar II(Nova Olinda)</t>
  </si>
  <si>
    <t>NOLI1-UTE000</t>
  </si>
  <si>
    <t>Geramar II (Nova Olinda)</t>
  </si>
  <si>
    <t>NOLI2-UTE000</t>
  </si>
  <si>
    <t>Mauá 3 (Gás)</t>
  </si>
  <si>
    <t>MAUAG1UTE002</t>
  </si>
  <si>
    <t>Mauá 3 (Vapor)</t>
  </si>
  <si>
    <t>MAUAG2UTE000</t>
  </si>
  <si>
    <t>Aparecida B1</t>
  </si>
  <si>
    <t>APARE1UTE002</t>
  </si>
  <si>
    <t>Aparecida B2</t>
  </si>
  <si>
    <t>APARE2UTE000</t>
  </si>
  <si>
    <t>Poraquê (antiga Cristiano Rocha)</t>
  </si>
  <si>
    <t>CROCHAUTE002</t>
  </si>
  <si>
    <t>Jaraqui</t>
  </si>
  <si>
    <t>PIEJR1UTE009</t>
  </si>
  <si>
    <t>PIEJR2UTE000</t>
  </si>
  <si>
    <t>Tambaqui</t>
  </si>
  <si>
    <t>PIETB1UTE011</t>
  </si>
  <si>
    <t>PIETB2UTE000</t>
  </si>
  <si>
    <t>Pirarucu (antiga Manauara)</t>
  </si>
  <si>
    <t>PIE-MAUTE002</t>
  </si>
  <si>
    <t>Tucunaré (antiga Ponta Negra)</t>
  </si>
  <si>
    <t>PIEGERUTE003</t>
  </si>
  <si>
    <t>Mauá B3</t>
  </si>
  <si>
    <t>130</t>
  </si>
  <si>
    <t>Mauá B4</t>
  </si>
  <si>
    <t>94</t>
  </si>
  <si>
    <t>63</t>
  </si>
  <si>
    <t>Iranduba</t>
  </si>
  <si>
    <t>IRANDU-AM069</t>
  </si>
  <si>
    <t>Flores</t>
  </si>
  <si>
    <t>FLORES-AM069</t>
  </si>
  <si>
    <t>S.JOSE-AM069</t>
  </si>
  <si>
    <t>Santana W</t>
  </si>
  <si>
    <t>60</t>
  </si>
  <si>
    <t>Amapá</t>
  </si>
  <si>
    <t>Santana LM</t>
  </si>
  <si>
    <t>45</t>
  </si>
  <si>
    <t>Jaguatirica II (Gás)</t>
  </si>
  <si>
    <t>RR</t>
  </si>
  <si>
    <t>SISOL</t>
  </si>
  <si>
    <t>Roraima</t>
  </si>
  <si>
    <t>JAGGA-UTE001</t>
  </si>
  <si>
    <t>JAGGB-UTE001</t>
  </si>
  <si>
    <t>Jaguatirica II (Vapor)</t>
  </si>
  <si>
    <t>JAG.V-UTE001</t>
  </si>
  <si>
    <t>Bonfim</t>
  </si>
  <si>
    <t>Biomassa</t>
  </si>
  <si>
    <t>BONFI-UTE001</t>
  </si>
  <si>
    <t>Cantá</t>
  </si>
  <si>
    <t>CANTA-UTE001</t>
  </si>
  <si>
    <t>Pau Rainha</t>
  </si>
  <si>
    <t>P.RAI-UTE001</t>
  </si>
  <si>
    <t>Santa Luz</t>
  </si>
  <si>
    <t>STALU-UTE001</t>
  </si>
  <si>
    <t>Baliza 1</t>
  </si>
  <si>
    <t>BALZ1-UTE001</t>
  </si>
  <si>
    <t>Baliza 2</t>
  </si>
  <si>
    <t>BALZ2-UTE001</t>
  </si>
  <si>
    <t>Palmaplan</t>
  </si>
  <si>
    <t>Biocombustível</t>
  </si>
  <si>
    <t>PALMA-UTE002</t>
  </si>
  <si>
    <t>Forte de São Joaquim</t>
  </si>
  <si>
    <t>64</t>
  </si>
  <si>
    <t>Monte Cristo Sucuba 1</t>
  </si>
  <si>
    <t>MCSU1-UTE000</t>
  </si>
  <si>
    <t>Monte Cristo Sucuba 2</t>
  </si>
  <si>
    <t>MCSU2-UTE000</t>
  </si>
  <si>
    <t>Monte Cristo</t>
  </si>
  <si>
    <t>MCRISTUTE000</t>
  </si>
  <si>
    <t>Monte Cristo II</t>
  </si>
  <si>
    <t>MCR-IIUTE000</t>
  </si>
  <si>
    <t>Novo Paraíso</t>
  </si>
  <si>
    <t>NPARA-UTE000</t>
  </si>
  <si>
    <t>Distrito</t>
  </si>
  <si>
    <t>DIST--UTE005</t>
  </si>
  <si>
    <t>Floresta</t>
  </si>
  <si>
    <t>FLORE-UTE009</t>
  </si>
  <si>
    <t>DESENHADO NO ORGANON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</si>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</sst>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0"/>
      <name val="Arial"/>
      <family val="2"/>
    </font>
    <font>
      <b/>
      <sz val="12"/>
      <color rgb="FFFF0000"/>
      <name val="Aptos Narrow"/>
      <family val="2"/>
      <scheme val="minor"/>
    </font>
    <font>
      <sz val="12"/>
      <name val="Times New Roman"/>
      <family val="1"/>
    </font>
    <font>
      <sz val="12"/>
      <name val="Consolas"/>
      <family val="3"/>
    </font>
    <font>
      <sz val="12"/>
      <color theme="5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Consolas"/>
      <family val="3"/>
    </font>
    <font>
      <sz val="12"/>
      <color theme="1"/>
      <name val="Times New Roman"/>
      <family val="1"/>
    </font>
    <font>
      <sz val="12"/>
      <color theme="1"/>
      <name val="Consolas"/>
      <family val="3"/>
    </font>
    <font>
      <sz val="9"/>
      <color indexed="81"/>
      <name val="Segoe U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indexed="81"/>
      <name val="Segoe UI"/>
      <family val="2"/>
    </font>
    <font>
      <sz val="12"/>
      <color indexed="81"/>
      <name val="Segoe UI"/>
      <family val="2"/>
    </font>
    <font>
      <b/>
      <sz val="9"/>
      <color indexed="81"/>
      <name val="Segoe UI"/>
      <family val="2"/>
    </font>
    <font>
      <u/>
      <sz val="12"/>
      <color indexed="81"/>
      <name val="Segoe UI"/>
      <family val="2"/>
    </font>
    <font>
      <b/>
      <sz val="10"/>
      <color indexed="81"/>
      <name val="Segoe UI"/>
      <family val="2"/>
    </font>
    <font>
      <sz val="10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>
      <alignment vertical="center"/>
    </xf>
    <xf numFmtId="9" fontId="5" fillId="0" borderId="0" applyFont="0" applyFill="0" applyBorder="0" applyAlignment="0" applyProtection="0"/>
  </cellStyleXfs>
  <cellXfs count="13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2" fillId="2" borderId="2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 wrapText="1"/>
    </xf>
    <xf numFmtId="0" fontId="2" fillId="4" borderId="6" xfId="2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/>
    </xf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2" fillId="4" borderId="2" xfId="2" applyFont="1" applyFill="1" applyBorder="1" applyAlignment="1">
      <alignment horizontal="center" vertical="center" wrapText="1"/>
    </xf>
    <xf numFmtId="49" fontId="2" fillId="4" borderId="2" xfId="2" applyNumberFormat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6" fillId="5" borderId="2" xfId="1" applyFont="1" applyFill="1" applyBorder="1" applyAlignment="1">
      <alignment horizontal="center" vertical="center"/>
    </xf>
    <xf numFmtId="0" fontId="6" fillId="6" borderId="2" xfId="1" applyFont="1" applyFill="1" applyBorder="1" applyAlignment="1">
      <alignment horizontal="center" vertical="center"/>
    </xf>
    <xf numFmtId="0" fontId="6" fillId="6" borderId="2" xfId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49" fontId="6" fillId="5" borderId="2" xfId="1" applyNumberFormat="1" applyFont="1" applyFill="1" applyBorder="1" applyAlignment="1">
      <alignment horizontal="center" vertical="center" wrapText="1"/>
    </xf>
    <xf numFmtId="0" fontId="2" fillId="2" borderId="2" xfId="2" applyFont="1" applyFill="1" applyBorder="1">
      <alignment vertical="center"/>
    </xf>
    <xf numFmtId="0" fontId="2" fillId="2" borderId="2" xfId="2" applyFont="1" applyFill="1" applyBorder="1" applyAlignment="1">
      <alignment horizontal="center" vertical="center"/>
    </xf>
    <xf numFmtId="0" fontId="2" fillId="4" borderId="2" xfId="2" applyFont="1" applyFill="1" applyBorder="1" applyAlignment="1">
      <alignment horizontal="center" vertical="center" wrapText="1"/>
    </xf>
    <xf numFmtId="0" fontId="7" fillId="2" borderId="2" xfId="2" applyFont="1" applyFill="1" applyBorder="1" applyAlignment="1" applyProtection="1">
      <alignment horizontal="center" vertical="center"/>
      <protection locked="0"/>
    </xf>
    <xf numFmtId="0" fontId="7" fillId="0" borderId="2" xfId="2" applyFont="1" applyBorder="1">
      <alignment vertical="center"/>
    </xf>
    <xf numFmtId="1" fontId="7" fillId="0" borderId="2" xfId="2" applyNumberFormat="1" applyFont="1" applyBorder="1" applyAlignment="1">
      <alignment horizontal="center" vertical="center"/>
    </xf>
    <xf numFmtId="3" fontId="7" fillId="0" borderId="2" xfId="2" quotePrefix="1" applyNumberFormat="1" applyFont="1" applyBorder="1" applyAlignment="1">
      <alignment horizontal="center" vertical="center"/>
    </xf>
    <xf numFmtId="164" fontId="7" fillId="0" borderId="2" xfId="2" applyNumberFormat="1" applyFont="1" applyBorder="1" applyAlignment="1">
      <alignment horizontal="center" vertical="center"/>
    </xf>
    <xf numFmtId="164" fontId="7" fillId="0" borderId="2" xfId="2" quotePrefix="1" applyNumberFormat="1" applyFont="1" applyBorder="1" applyAlignment="1">
      <alignment horizontal="center" vertical="center"/>
    </xf>
    <xf numFmtId="3" fontId="7" fillId="0" borderId="2" xfId="2" applyNumberFormat="1" applyFont="1" applyBorder="1" applyAlignment="1">
      <alignment horizontal="center" vertical="center"/>
    </xf>
    <xf numFmtId="3" fontId="7" fillId="0" borderId="2" xfId="2" applyNumberFormat="1" applyFont="1" applyBorder="1" applyAlignment="1">
      <alignment horizontal="right" vertical="center"/>
    </xf>
    <xf numFmtId="9" fontId="7" fillId="0" borderId="2" xfId="3" applyFont="1" applyBorder="1" applyAlignment="1">
      <alignment horizontal="right" vertical="center"/>
    </xf>
    <xf numFmtId="1" fontId="7" fillId="0" borderId="2" xfId="3" applyNumberFormat="1" applyFont="1" applyBorder="1" applyAlignment="1">
      <alignment horizontal="right" vertical="center"/>
    </xf>
    <xf numFmtId="165" fontId="7" fillId="0" borderId="2" xfId="3" applyNumberFormat="1" applyFont="1" applyBorder="1" applyAlignment="1">
      <alignment horizontal="right" vertical="center"/>
    </xf>
    <xf numFmtId="3" fontId="7" fillId="0" borderId="2" xfId="2" applyNumberFormat="1" applyFont="1" applyBorder="1" applyAlignment="1" applyProtection="1">
      <alignment horizontal="center" vertical="center"/>
      <protection locked="0"/>
    </xf>
    <xf numFmtId="9" fontId="7" fillId="0" borderId="2" xfId="3" applyFont="1" applyBorder="1" applyAlignment="1" applyProtection="1">
      <alignment horizontal="center" vertical="center"/>
      <protection locked="0"/>
    </xf>
    <xf numFmtId="0" fontId="7" fillId="0" borderId="2" xfId="3" applyNumberFormat="1" applyFont="1" applyBorder="1" applyAlignment="1" applyProtection="1">
      <alignment horizontal="center" vertical="center"/>
      <protection locked="0"/>
    </xf>
    <xf numFmtId="1" fontId="7" fillId="0" borderId="2" xfId="3" applyNumberFormat="1" applyFont="1" applyBorder="1" applyAlignment="1" applyProtection="1">
      <alignment horizontal="center" vertical="center"/>
      <protection locked="0"/>
    </xf>
    <xf numFmtId="49" fontId="7" fillId="0" borderId="2" xfId="3" applyNumberFormat="1" applyFont="1" applyBorder="1" applyAlignment="1" applyProtection="1">
      <alignment horizontal="right" vertical="center"/>
      <protection locked="0"/>
    </xf>
    <xf numFmtId="0" fontId="7" fillId="0" borderId="2" xfId="2" applyFont="1" applyBorder="1" applyAlignment="1">
      <alignment horizontal="center" vertical="center"/>
    </xf>
    <xf numFmtId="0" fontId="7" fillId="0" borderId="2" xfId="2" applyFont="1" applyBorder="1" applyAlignment="1">
      <alignment horizontal="left" vertical="center"/>
    </xf>
    <xf numFmtId="10" fontId="8" fillId="0" borderId="2" xfId="2" applyNumberFormat="1" applyFont="1" applyBorder="1" applyAlignment="1">
      <alignment horizontal="center" vertical="center"/>
    </xf>
    <xf numFmtId="10" fontId="8" fillId="0" borderId="2" xfId="2" applyNumberFormat="1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  <xf numFmtId="49" fontId="8" fillId="0" borderId="2" xfId="2" applyNumberFormat="1" applyFont="1" applyBorder="1" applyAlignment="1">
      <alignment horizontal="center" vertical="center"/>
    </xf>
    <xf numFmtId="0" fontId="7" fillId="7" borderId="2" xfId="2" applyFont="1" applyFill="1" applyBorder="1">
      <alignment vertical="center"/>
    </xf>
    <xf numFmtId="166" fontId="7" fillId="0" borderId="2" xfId="2" applyNumberFormat="1" applyFont="1" applyBorder="1">
      <alignment vertical="center"/>
    </xf>
    <xf numFmtId="3" fontId="7" fillId="0" borderId="2" xfId="2" quotePrefix="1" applyNumberFormat="1" applyFont="1" applyBorder="1" applyAlignment="1" applyProtection="1">
      <alignment horizontal="center" vertical="center"/>
      <protection locked="0"/>
    </xf>
    <xf numFmtId="166" fontId="7" fillId="0" borderId="2" xfId="2" applyNumberFormat="1" applyFont="1" applyBorder="1" applyAlignment="1">
      <alignment horizontal="left" vertical="center"/>
    </xf>
    <xf numFmtId="0" fontId="10" fillId="0" borderId="2" xfId="2" applyFont="1" applyBorder="1">
      <alignment vertical="center"/>
    </xf>
    <xf numFmtId="1" fontId="10" fillId="0" borderId="2" xfId="2" applyNumberFormat="1" applyFont="1" applyBorder="1" applyAlignment="1">
      <alignment horizontal="center" vertical="center"/>
    </xf>
    <xf numFmtId="3" fontId="10" fillId="0" borderId="2" xfId="2" quotePrefix="1" applyNumberFormat="1" applyFont="1" applyBorder="1" applyAlignment="1">
      <alignment horizontal="center" vertical="center"/>
    </xf>
    <xf numFmtId="3" fontId="7" fillId="0" borderId="2" xfId="2" applyNumberFormat="1" applyFont="1" applyBorder="1">
      <alignment vertical="center"/>
    </xf>
    <xf numFmtId="49" fontId="7" fillId="0" borderId="2" xfId="2" applyNumberFormat="1" applyFont="1" applyBorder="1" applyAlignment="1">
      <alignment horizontal="center" vertical="center"/>
    </xf>
    <xf numFmtId="3" fontId="10" fillId="0" borderId="2" xfId="2" applyNumberFormat="1" applyFont="1" applyBorder="1" applyAlignment="1">
      <alignment horizontal="center" vertical="center"/>
    </xf>
    <xf numFmtId="3" fontId="10" fillId="0" borderId="2" xfId="2" applyNumberFormat="1" applyFont="1" applyBorder="1" applyAlignment="1">
      <alignment horizontal="right" vertical="center"/>
    </xf>
    <xf numFmtId="9" fontId="10" fillId="0" borderId="2" xfId="3" applyFont="1" applyBorder="1" applyAlignment="1">
      <alignment horizontal="right" vertical="center"/>
    </xf>
    <xf numFmtId="1" fontId="10" fillId="0" borderId="2" xfId="3" applyNumberFormat="1" applyFont="1" applyBorder="1" applyAlignment="1">
      <alignment horizontal="right" vertical="center"/>
    </xf>
    <xf numFmtId="165" fontId="10" fillId="0" borderId="2" xfId="3" applyNumberFormat="1" applyFont="1" applyBorder="1" applyAlignment="1">
      <alignment horizontal="right" vertical="center"/>
    </xf>
    <xf numFmtId="3" fontId="10" fillId="0" borderId="2" xfId="2" applyNumberFormat="1" applyFont="1" applyBorder="1" applyAlignment="1" applyProtection="1">
      <alignment horizontal="center" vertical="center"/>
      <protection locked="0"/>
    </xf>
    <xf numFmtId="9" fontId="10" fillId="0" borderId="2" xfId="3" applyFont="1" applyBorder="1" applyAlignment="1" applyProtection="1">
      <alignment horizontal="center" vertical="center"/>
      <protection locked="0"/>
    </xf>
    <xf numFmtId="0" fontId="10" fillId="0" borderId="2" xfId="3" applyNumberFormat="1" applyFont="1" applyBorder="1" applyAlignment="1" applyProtection="1">
      <alignment horizontal="center" vertical="center"/>
      <protection locked="0"/>
    </xf>
    <xf numFmtId="1" fontId="10" fillId="0" borderId="2" xfId="3" applyNumberFormat="1" applyFont="1" applyBorder="1" applyAlignment="1" applyProtection="1">
      <alignment horizontal="center" vertical="center"/>
      <protection locked="0"/>
    </xf>
    <xf numFmtId="49" fontId="10" fillId="0" borderId="2" xfId="2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left" vertical="center"/>
    </xf>
    <xf numFmtId="10" fontId="11" fillId="0" borderId="2" xfId="2" applyNumberFormat="1" applyFont="1" applyBorder="1" applyAlignment="1">
      <alignment horizontal="center" vertical="center"/>
    </xf>
    <xf numFmtId="10" fontId="11" fillId="0" borderId="2" xfId="2" applyNumberFormat="1" applyFont="1" applyBorder="1" applyAlignment="1">
      <alignment horizontal="center" vertical="center" wrapText="1"/>
    </xf>
    <xf numFmtId="0" fontId="11" fillId="0" borderId="2" xfId="2" applyFont="1" applyBorder="1" applyAlignment="1">
      <alignment horizontal="center" vertical="center"/>
    </xf>
    <xf numFmtId="49" fontId="11" fillId="0" borderId="2" xfId="2" applyNumberFormat="1" applyFont="1" applyBorder="1" applyAlignment="1">
      <alignment horizontal="center" vertical="center"/>
    </xf>
    <xf numFmtId="3" fontId="7" fillId="0" borderId="2" xfId="2" quotePrefix="1" applyNumberFormat="1" applyFont="1" applyBorder="1" applyAlignment="1">
      <alignment horizontal="right" vertical="center"/>
    </xf>
    <xf numFmtId="166" fontId="7" fillId="0" borderId="2" xfId="2" quotePrefix="1" applyNumberFormat="1" applyFont="1" applyBorder="1" applyAlignment="1">
      <alignment horizontal="left" vertical="center"/>
    </xf>
    <xf numFmtId="1" fontId="7" fillId="0" borderId="2" xfId="2" applyNumberFormat="1" applyFont="1" applyBorder="1" applyAlignment="1">
      <alignment horizontal="left" vertical="center"/>
    </xf>
    <xf numFmtId="1" fontId="7" fillId="0" borderId="2" xfId="2" applyNumberFormat="1" applyFont="1" applyBorder="1">
      <alignment vertical="center"/>
    </xf>
    <xf numFmtId="3" fontId="10" fillId="0" borderId="2" xfId="0" quotePrefix="1" applyNumberFormat="1" applyFont="1" applyBorder="1" applyAlignment="1">
      <alignment horizontal="center" vertical="center"/>
    </xf>
    <xf numFmtId="1" fontId="10" fillId="0" borderId="2" xfId="2" applyNumberFormat="1" applyFont="1" applyBorder="1" applyAlignment="1">
      <alignment horizontal="left" vertical="center"/>
    </xf>
    <xf numFmtId="1" fontId="10" fillId="0" borderId="2" xfId="2" applyNumberFormat="1" applyFont="1" applyBorder="1">
      <alignment vertical="center"/>
    </xf>
    <xf numFmtId="3" fontId="7" fillId="0" borderId="2" xfId="0" quotePrefix="1" applyNumberFormat="1" applyFont="1" applyBorder="1" applyAlignment="1">
      <alignment horizontal="center" vertical="center"/>
    </xf>
    <xf numFmtId="0" fontId="12" fillId="0" borderId="2" xfId="2" applyFont="1" applyBorder="1">
      <alignment vertical="center"/>
    </xf>
    <xf numFmtId="1" fontId="12" fillId="0" borderId="2" xfId="2" applyNumberFormat="1" applyFont="1" applyBorder="1" applyAlignment="1">
      <alignment horizontal="center" vertical="center"/>
    </xf>
    <xf numFmtId="3" fontId="12" fillId="0" borderId="2" xfId="0" quotePrefix="1" applyNumberFormat="1" applyFont="1" applyBorder="1" applyAlignment="1">
      <alignment horizontal="center" vertical="center"/>
    </xf>
    <xf numFmtId="3" fontId="12" fillId="0" borderId="2" xfId="2" applyNumberFormat="1" applyFont="1" applyBorder="1" applyAlignment="1">
      <alignment horizontal="center" vertical="center"/>
    </xf>
    <xf numFmtId="3" fontId="12" fillId="0" borderId="2" xfId="2" quotePrefix="1" applyNumberFormat="1" applyFont="1" applyBorder="1" applyAlignment="1">
      <alignment horizontal="right" vertical="center"/>
    </xf>
    <xf numFmtId="9" fontId="12" fillId="0" borderId="2" xfId="3" applyFont="1" applyBorder="1" applyAlignment="1">
      <alignment horizontal="right" vertical="center"/>
    </xf>
    <xf numFmtId="1" fontId="12" fillId="0" borderId="2" xfId="3" applyNumberFormat="1" applyFont="1" applyBorder="1" applyAlignment="1">
      <alignment horizontal="right" vertical="center"/>
    </xf>
    <xf numFmtId="165" fontId="12" fillId="0" borderId="2" xfId="3" applyNumberFormat="1" applyFont="1" applyBorder="1" applyAlignment="1">
      <alignment horizontal="right" vertical="center"/>
    </xf>
    <xf numFmtId="3" fontId="12" fillId="0" borderId="2" xfId="2" applyNumberFormat="1" applyFont="1" applyBorder="1" applyAlignment="1">
      <alignment horizontal="right" vertical="center"/>
    </xf>
    <xf numFmtId="3" fontId="12" fillId="0" borderId="2" xfId="2" applyNumberFormat="1" applyFont="1" applyBorder="1" applyAlignment="1" applyProtection="1">
      <alignment horizontal="center" vertical="center"/>
      <protection locked="0"/>
    </xf>
    <xf numFmtId="9" fontId="12" fillId="0" borderId="2" xfId="3" applyFont="1" applyBorder="1" applyAlignment="1" applyProtection="1">
      <alignment horizontal="center" vertical="center"/>
      <protection locked="0"/>
    </xf>
    <xf numFmtId="0" fontId="12" fillId="0" borderId="2" xfId="3" applyNumberFormat="1" applyFont="1" applyBorder="1" applyAlignment="1" applyProtection="1">
      <alignment horizontal="center" vertical="center"/>
      <protection locked="0"/>
    </xf>
    <xf numFmtId="1" fontId="12" fillId="0" borderId="2" xfId="3" applyNumberFormat="1" applyFont="1" applyBorder="1" applyAlignment="1" applyProtection="1">
      <alignment horizontal="center" vertical="center"/>
      <protection locked="0"/>
    </xf>
    <xf numFmtId="49" fontId="12" fillId="0" borderId="2" xfId="3" applyNumberFormat="1" applyFont="1" applyBorder="1" applyAlignment="1" applyProtection="1">
      <alignment horizontal="right" vertical="center"/>
      <protection locked="0"/>
    </xf>
    <xf numFmtId="49" fontId="12" fillId="0" borderId="2" xfId="2" applyNumberFormat="1" applyFont="1" applyBorder="1" applyAlignment="1">
      <alignment horizontal="center" vertical="center"/>
    </xf>
    <xf numFmtId="0" fontId="12" fillId="0" borderId="2" xfId="2" applyFont="1" applyBorder="1" applyAlignment="1">
      <alignment horizontal="left" vertical="center"/>
    </xf>
    <xf numFmtId="10" fontId="13" fillId="0" borderId="2" xfId="2" applyNumberFormat="1" applyFont="1" applyBorder="1" applyAlignment="1">
      <alignment horizontal="center" vertical="center"/>
    </xf>
    <xf numFmtId="10" fontId="13" fillId="0" borderId="2" xfId="2" applyNumberFormat="1" applyFont="1" applyBorder="1" applyAlignment="1">
      <alignment horizontal="center" vertical="center" wrapText="1"/>
    </xf>
    <xf numFmtId="0" fontId="13" fillId="0" borderId="2" xfId="2" applyFont="1" applyBorder="1" applyAlignment="1">
      <alignment horizontal="center" vertical="center"/>
    </xf>
    <xf numFmtId="49" fontId="13" fillId="0" borderId="2" xfId="2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1" fontId="7" fillId="0" borderId="2" xfId="0" applyNumberFormat="1" applyFont="1" applyBorder="1" applyAlignment="1">
      <alignment horizontal="center" vertical="center"/>
    </xf>
    <xf numFmtId="9" fontId="7" fillId="8" borderId="2" xfId="3" applyFont="1" applyFill="1" applyBorder="1" applyAlignment="1">
      <alignment horizontal="right" vertical="center"/>
    </xf>
    <xf numFmtId="3" fontId="7" fillId="8" borderId="2" xfId="2" applyNumberFormat="1" applyFont="1" applyFill="1" applyBorder="1" applyAlignment="1" applyProtection="1">
      <alignment horizontal="center" vertical="center"/>
      <protection locked="0"/>
    </xf>
    <xf numFmtId="9" fontId="7" fillId="8" borderId="2" xfId="3" applyFont="1" applyFill="1" applyBorder="1" applyAlignment="1" applyProtection="1">
      <alignment horizontal="center" vertical="center"/>
      <protection locked="0"/>
    </xf>
    <xf numFmtId="0" fontId="7" fillId="8" borderId="2" xfId="3" applyNumberFormat="1" applyFont="1" applyFill="1" applyBorder="1" applyAlignment="1" applyProtection="1">
      <alignment horizontal="center" vertical="center"/>
      <protection locked="0"/>
    </xf>
    <xf numFmtId="1" fontId="7" fillId="8" borderId="2" xfId="3" applyNumberFormat="1" applyFont="1" applyFill="1" applyBorder="1" applyAlignment="1" applyProtection="1">
      <alignment horizontal="center" vertical="center"/>
      <protection locked="0"/>
    </xf>
    <xf numFmtId="49" fontId="7" fillId="8" borderId="2" xfId="3" applyNumberFormat="1" applyFont="1" applyFill="1" applyBorder="1" applyAlignment="1" applyProtection="1">
      <alignment horizontal="right" vertical="center"/>
      <protection locked="0"/>
    </xf>
    <xf numFmtId="1" fontId="7" fillId="8" borderId="2" xfId="2" applyNumberFormat="1" applyFont="1" applyFill="1" applyBorder="1" applyAlignment="1">
      <alignment horizontal="center" vertical="center"/>
    </xf>
    <xf numFmtId="9" fontId="7" fillId="0" borderId="2" xfId="3" applyFont="1" applyBorder="1" applyAlignment="1" applyProtection="1">
      <alignment horizontal="left" vertical="center"/>
      <protection locked="0"/>
    </xf>
    <xf numFmtId="9" fontId="7" fillId="0" borderId="2" xfId="3" applyFont="1" applyFill="1" applyBorder="1" applyAlignment="1">
      <alignment horizontal="right" vertical="center"/>
    </xf>
    <xf numFmtId="1" fontId="7" fillId="0" borderId="2" xfId="3" applyNumberFormat="1" applyFont="1" applyFill="1" applyBorder="1" applyAlignment="1">
      <alignment horizontal="right" vertical="center"/>
    </xf>
    <xf numFmtId="165" fontId="7" fillId="0" borderId="2" xfId="3" applyNumberFormat="1" applyFont="1" applyFill="1" applyBorder="1" applyAlignment="1">
      <alignment horizontal="right" vertical="center"/>
    </xf>
    <xf numFmtId="9" fontId="7" fillId="0" borderId="2" xfId="3" applyFont="1" applyFill="1" applyBorder="1" applyAlignment="1" applyProtection="1">
      <alignment horizontal="center" vertical="center"/>
      <protection locked="0"/>
    </xf>
    <xf numFmtId="0" fontId="7" fillId="0" borderId="2" xfId="3" applyNumberFormat="1" applyFont="1" applyFill="1" applyBorder="1" applyAlignment="1" applyProtection="1">
      <alignment horizontal="center" vertical="center"/>
      <protection locked="0"/>
    </xf>
    <xf numFmtId="1" fontId="7" fillId="0" borderId="2" xfId="3" applyNumberFormat="1" applyFont="1" applyFill="1" applyBorder="1" applyAlignment="1" applyProtection="1">
      <alignment horizontal="center" vertical="center"/>
      <protection locked="0"/>
    </xf>
    <xf numFmtId="49" fontId="7" fillId="0" borderId="2" xfId="3" applyNumberFormat="1" applyFont="1" applyFill="1" applyBorder="1" applyAlignment="1" applyProtection="1">
      <alignment horizontal="right" vertical="center"/>
      <protection locked="0"/>
    </xf>
    <xf numFmtId="0" fontId="7" fillId="0" borderId="2" xfId="2" quotePrefix="1" applyFont="1" applyBorder="1" applyAlignment="1">
      <alignment horizontal="center" vertical="center"/>
    </xf>
    <xf numFmtId="9" fontId="10" fillId="0" borderId="2" xfId="3" applyFont="1" applyFill="1" applyBorder="1" applyAlignment="1">
      <alignment horizontal="right" vertical="center"/>
    </xf>
    <xf numFmtId="1" fontId="10" fillId="0" borderId="2" xfId="3" applyNumberFormat="1" applyFont="1" applyFill="1" applyBorder="1" applyAlignment="1">
      <alignment horizontal="right" vertical="center"/>
    </xf>
    <xf numFmtId="165" fontId="10" fillId="0" borderId="2" xfId="3" applyNumberFormat="1" applyFont="1" applyFill="1" applyBorder="1" applyAlignment="1">
      <alignment horizontal="right" vertical="center"/>
    </xf>
    <xf numFmtId="9" fontId="10" fillId="0" borderId="2" xfId="3" applyFont="1" applyFill="1" applyBorder="1" applyAlignment="1" applyProtection="1">
      <alignment horizontal="center" vertical="center"/>
      <protection locked="0"/>
    </xf>
    <xf numFmtId="0" fontId="10" fillId="0" borderId="2" xfId="3" applyNumberFormat="1" applyFont="1" applyFill="1" applyBorder="1" applyAlignment="1" applyProtection="1">
      <alignment horizontal="center" vertical="center"/>
      <protection locked="0"/>
    </xf>
    <xf numFmtId="1" fontId="10" fillId="0" borderId="2" xfId="3" applyNumberFormat="1" applyFont="1" applyFill="1" applyBorder="1" applyAlignment="1" applyProtection="1">
      <alignment horizontal="center" vertical="center"/>
      <protection locked="0"/>
    </xf>
    <xf numFmtId="49" fontId="10" fillId="0" borderId="2" xfId="3" applyNumberFormat="1" applyFont="1" applyFill="1" applyBorder="1" applyAlignment="1" applyProtection="1">
      <alignment horizontal="right" vertical="center"/>
      <protection locked="0"/>
    </xf>
    <xf numFmtId="0" fontId="10" fillId="0" borderId="2" xfId="2" applyFont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 wrapText="1"/>
    </xf>
    <xf numFmtId="0" fontId="2" fillId="9" borderId="7" xfId="1" applyFont="1" applyFill="1" applyBorder="1" applyAlignment="1">
      <alignment horizontal="center" vertical="center" wrapText="1"/>
    </xf>
    <xf numFmtId="0" fontId="2" fillId="9" borderId="6" xfId="1" applyFont="1" applyFill="1" applyBorder="1" applyAlignment="1">
      <alignment horizontal="center" vertical="center" wrapText="1"/>
    </xf>
    <xf numFmtId="0" fontId="7" fillId="9" borderId="2" xfId="2" applyFont="1" applyFill="1" applyBorder="1" applyAlignment="1" applyProtection="1">
      <alignment horizontal="center" vertical="center"/>
      <protection locked="0"/>
    </xf>
    <xf numFmtId="1" fontId="7" fillId="9" borderId="2" xfId="2" applyNumberFormat="1" applyFont="1" applyFill="1" applyBorder="1" applyAlignment="1">
      <alignment horizontal="center" vertical="center"/>
    </xf>
    <xf numFmtId="1" fontId="10" fillId="9" borderId="2" xfId="2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 xr:uid="{93042F68-5A3D-4F24-A8CF-CDCE1A895630}"/>
    <cellStyle name="Normal 4" xfId="1" xr:uid="{CE9BD28F-203A-4423-A780-F0D532EF12E8}"/>
    <cellStyle name="Porcentagem 2" xfId="3" xr:uid="{0C585F91-3A52-433B-B6E3-BE5A53D9003A}"/>
  </cellStyles>
  <dxfs count="23">
    <dxf>
      <fill>
        <patternFill>
          <bgColor rgb="FFF2DCDB"/>
        </patternFill>
      </fill>
    </dxf>
    <dxf>
      <fill>
        <patternFill>
          <bgColor rgb="FF00CC66"/>
        </patternFill>
      </fill>
    </dxf>
    <dxf>
      <fill>
        <patternFill>
          <bgColor rgb="FFFABF8F"/>
        </patternFill>
      </fill>
    </dxf>
    <dxf>
      <fill>
        <patternFill>
          <bgColor rgb="FFF68E38"/>
        </patternFill>
      </fill>
    </dxf>
    <dxf>
      <fill>
        <patternFill>
          <bgColor rgb="FFEBF1DE"/>
        </patternFill>
      </fill>
    </dxf>
    <dxf>
      <fill>
        <patternFill>
          <bgColor rgb="FFFFCC65"/>
        </patternFill>
      </fill>
    </dxf>
    <dxf>
      <fill>
        <patternFill>
          <bgColor rgb="FFC5D9F1"/>
        </patternFill>
      </fill>
    </dxf>
    <dxf>
      <fill>
        <patternFill>
          <bgColor rgb="FFFFFF99"/>
        </patternFill>
      </fill>
    </dxf>
    <dxf>
      <fill>
        <patternFill>
          <bgColor rgb="FF99CCFF"/>
        </patternFill>
      </fill>
    </dxf>
    <dxf>
      <fill>
        <patternFill>
          <bgColor rgb="FFCC99FF"/>
        </patternFill>
      </fill>
    </dxf>
    <dxf>
      <fill>
        <patternFill>
          <bgColor rgb="FFFABF8F"/>
        </patternFill>
      </fill>
    </dxf>
    <dxf>
      <fill>
        <patternFill>
          <bgColor rgb="FFCCFFFF"/>
        </patternFill>
      </fill>
    </dxf>
    <dxf>
      <fill>
        <patternFill>
          <bgColor rgb="FFC0C0C0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9C0006"/>
      </font>
      <fill>
        <patternFill>
          <bgColor rgb="FFFFC7CE"/>
        </patternFill>
      </fill>
    </dxf>
    <dxf>
      <font>
        <color rgb="FF0000FF"/>
      </font>
    </dxf>
    <dxf>
      <font>
        <color rgb="FFFF0000"/>
      </font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FFFFFF"/>
      </font>
      <fill>
        <patternFill>
          <bgColor rgb="FF7A4810"/>
        </patternFill>
      </fill>
    </dxf>
    <dxf>
      <font>
        <b/>
        <i val="0"/>
        <color rgb="FF002060"/>
      </font>
      <fill>
        <patternFill>
          <bgColor rgb="FF95B3D7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E149-B0E5-4E22-B0F1-048124EB0D7E}">
  <sheetPr filterMode="1"/>
  <dimension ref="A1:AJ375"/>
  <sheetViews>
    <sheetView tabSelected="1" workbookViewId="0">
      <selection activeCell="C52" sqref="C52"/>
    </sheetView>
  </sheetViews>
  <sheetFormatPr defaultRowHeight="15" x14ac:dyDescent="0.25"/>
  <cols>
    <col min="1" max="1" width="26.5703125" customWidth="1"/>
    <col min="3" max="3" width="27.5703125" bestFit="1" customWidth="1"/>
    <col min="24" max="24" width="8.42578125" bestFit="1" customWidth="1"/>
    <col min="25" max="25" width="12" bestFit="1" customWidth="1"/>
  </cols>
  <sheetData>
    <row r="1" spans="1:36" ht="15.75" x14ac:dyDescent="0.25">
      <c r="A1" s="1" t="s">
        <v>0</v>
      </c>
      <c r="B1" s="2" t="s">
        <v>1</v>
      </c>
      <c r="C1" s="132" t="s">
        <v>893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3" t="s">
        <v>7</v>
      </c>
      <c r="J1" s="4"/>
      <c r="K1" s="4"/>
      <c r="L1" s="5"/>
      <c r="M1" s="3" t="s">
        <v>8</v>
      </c>
      <c r="N1" s="5"/>
      <c r="O1" s="6" t="s">
        <v>9</v>
      </c>
      <c r="P1" s="7"/>
      <c r="Q1" s="7"/>
      <c r="R1" s="7"/>
      <c r="S1" s="8"/>
      <c r="T1" s="1" t="s">
        <v>10</v>
      </c>
      <c r="U1" s="2" t="s">
        <v>11</v>
      </c>
      <c r="V1" s="9" t="s">
        <v>12</v>
      </c>
      <c r="W1" s="9" t="s">
        <v>13</v>
      </c>
      <c r="X1" s="9" t="s">
        <v>14</v>
      </c>
      <c r="Y1" s="9" t="s">
        <v>15</v>
      </c>
      <c r="Z1" s="9" t="s">
        <v>16</v>
      </c>
      <c r="AA1" s="10" t="s">
        <v>17</v>
      </c>
      <c r="AB1" s="10" t="s">
        <v>18</v>
      </c>
      <c r="AC1" s="10" t="s">
        <v>19</v>
      </c>
      <c r="AD1" s="10" t="s">
        <v>20</v>
      </c>
      <c r="AE1" s="10" t="s">
        <v>21</v>
      </c>
      <c r="AF1" s="10" t="s">
        <v>22</v>
      </c>
      <c r="AG1" s="11" t="s">
        <v>23</v>
      </c>
      <c r="AH1" s="11"/>
      <c r="AI1" s="11"/>
      <c r="AJ1" s="11"/>
    </row>
    <row r="2" spans="1:36" ht="15.75" x14ac:dyDescent="0.25">
      <c r="A2" s="12"/>
      <c r="B2" s="2"/>
      <c r="C2" s="133"/>
      <c r="D2" s="2"/>
      <c r="E2" s="2"/>
      <c r="F2" s="2"/>
      <c r="G2" s="12"/>
      <c r="H2" s="12"/>
      <c r="I2" s="13"/>
      <c r="J2" s="14"/>
      <c r="K2" s="14"/>
      <c r="L2" s="15"/>
      <c r="M2" s="13"/>
      <c r="N2" s="15"/>
      <c r="O2" s="16"/>
      <c r="P2" s="17"/>
      <c r="Q2" s="17"/>
      <c r="R2" s="17"/>
      <c r="S2" s="18"/>
      <c r="T2" s="12"/>
      <c r="U2" s="2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9" t="s">
        <v>24</v>
      </c>
      <c r="AH2" s="19"/>
      <c r="AI2" s="19" t="s">
        <v>25</v>
      </c>
      <c r="AJ2" s="20" t="s">
        <v>26</v>
      </c>
    </row>
    <row r="3" spans="1:36" ht="63" x14ac:dyDescent="0.25">
      <c r="A3" s="21"/>
      <c r="B3" s="2"/>
      <c r="C3" s="134"/>
      <c r="D3" s="2"/>
      <c r="E3" s="2"/>
      <c r="F3" s="2"/>
      <c r="G3" s="21"/>
      <c r="H3" s="21"/>
      <c r="I3" s="22" t="s">
        <v>27</v>
      </c>
      <c r="J3" s="23" t="s">
        <v>28</v>
      </c>
      <c r="K3" s="23" t="s">
        <v>29</v>
      </c>
      <c r="L3" s="23" t="s">
        <v>30</v>
      </c>
      <c r="M3" s="22" t="s">
        <v>27</v>
      </c>
      <c r="N3" s="23" t="s">
        <v>28</v>
      </c>
      <c r="O3" s="24" t="s">
        <v>27</v>
      </c>
      <c r="P3" s="25" t="s">
        <v>28</v>
      </c>
      <c r="Q3" s="26" t="s">
        <v>31</v>
      </c>
      <c r="R3" s="27" t="s">
        <v>32</v>
      </c>
      <c r="S3" s="28" t="s">
        <v>33</v>
      </c>
      <c r="T3" s="21"/>
      <c r="U3" s="2"/>
      <c r="V3" s="9"/>
      <c r="W3" s="9"/>
      <c r="X3" s="9"/>
      <c r="Y3" s="9"/>
      <c r="Z3" s="9" t="s">
        <v>16</v>
      </c>
      <c r="AA3" s="29"/>
      <c r="AB3" s="29"/>
      <c r="AC3" s="29"/>
      <c r="AD3" s="30"/>
      <c r="AE3" s="30"/>
      <c r="AF3" s="30"/>
      <c r="AG3" s="31" t="s">
        <v>34</v>
      </c>
      <c r="AH3" s="31" t="s">
        <v>35</v>
      </c>
      <c r="AI3" s="19"/>
      <c r="AJ3" s="20"/>
    </row>
    <row r="4" spans="1:36" ht="15.75" x14ac:dyDescent="0.25">
      <c r="A4" s="32"/>
      <c r="B4" s="32">
        <v>2</v>
      </c>
      <c r="C4" s="135"/>
      <c r="D4" s="32">
        <v>3</v>
      </c>
      <c r="E4" s="32">
        <v>4</v>
      </c>
      <c r="F4" s="32">
        <v>5</v>
      </c>
      <c r="G4" s="32">
        <v>6</v>
      </c>
      <c r="H4" s="32">
        <v>7</v>
      </c>
      <c r="I4" s="32">
        <v>8</v>
      </c>
      <c r="J4" s="32">
        <v>9</v>
      </c>
      <c r="K4" s="32">
        <v>10</v>
      </c>
      <c r="L4" s="32">
        <v>11</v>
      </c>
      <c r="M4" s="32">
        <v>12</v>
      </c>
      <c r="N4" s="32">
        <v>13</v>
      </c>
      <c r="O4" s="32">
        <v>14</v>
      </c>
      <c r="P4" s="32">
        <v>15</v>
      </c>
      <c r="Q4" s="32">
        <v>16</v>
      </c>
      <c r="R4" s="32">
        <v>17</v>
      </c>
      <c r="S4" s="32">
        <v>18</v>
      </c>
      <c r="T4" s="32">
        <v>19</v>
      </c>
      <c r="U4" s="32">
        <v>20</v>
      </c>
      <c r="V4" s="32">
        <v>21</v>
      </c>
      <c r="W4" s="32">
        <v>22</v>
      </c>
      <c r="X4" s="32">
        <v>23</v>
      </c>
      <c r="Y4" s="32">
        <v>24</v>
      </c>
      <c r="Z4" s="32">
        <v>25</v>
      </c>
      <c r="AA4" s="32">
        <v>26</v>
      </c>
      <c r="AB4" s="32">
        <v>27</v>
      </c>
      <c r="AC4" s="32">
        <v>28</v>
      </c>
      <c r="AD4" s="32">
        <v>29</v>
      </c>
      <c r="AE4" s="32">
        <v>30</v>
      </c>
      <c r="AF4" s="32">
        <v>31</v>
      </c>
      <c r="AG4" s="32">
        <v>32</v>
      </c>
      <c r="AH4" s="32">
        <v>33</v>
      </c>
      <c r="AI4" s="32">
        <v>34</v>
      </c>
      <c r="AJ4" s="32">
        <v>35</v>
      </c>
    </row>
    <row r="5" spans="1:36" ht="15.75" hidden="1" x14ac:dyDescent="0.25">
      <c r="A5" s="33" t="s">
        <v>36</v>
      </c>
      <c r="B5" s="34">
        <v>1501</v>
      </c>
      <c r="C5" s="34"/>
      <c r="D5" s="35">
        <v>56</v>
      </c>
      <c r="E5" s="36" t="str">
        <f>IF(AS5="-",IF(AW5=0,"",AW5),"")</f>
        <v/>
      </c>
      <c r="F5" s="37" t="str">
        <f>IF(AS5="-",AX5,"")</f>
        <v/>
      </c>
      <c r="G5" s="38">
        <f t="shared" ref="G5:H69" si="0">BD5</f>
        <v>0</v>
      </c>
      <c r="H5" s="38">
        <f t="shared" si="0"/>
        <v>0</v>
      </c>
      <c r="I5" s="39">
        <v>25</v>
      </c>
      <c r="J5" s="40">
        <f>IFERROR(+I5/$D5,"-")</f>
        <v>0.44642857142857145</v>
      </c>
      <c r="K5" s="41">
        <v>11.59</v>
      </c>
      <c r="L5" s="42">
        <v>0.98</v>
      </c>
      <c r="M5" s="39">
        <f t="shared" ref="M5:M69" si="1">IF(O5&lt;&gt;"",ROUND(O5,0),IF(P5&lt;&gt;"",ROUND(P5*D5,0),I5))</f>
        <v>25</v>
      </c>
      <c r="N5" s="40">
        <f t="shared" ref="N5:N69" si="2">IF(M5&lt;&gt;"",+M5/$D5,"-")</f>
        <v>0.44642857142857145</v>
      </c>
      <c r="O5" s="43"/>
      <c r="P5" s="44"/>
      <c r="Q5" s="45"/>
      <c r="R5" s="46"/>
      <c r="S5" s="47"/>
      <c r="T5" s="34">
        <f t="shared" ref="T5:T68" si="3">AK5</f>
        <v>0</v>
      </c>
      <c r="U5" s="34">
        <f t="shared" ref="U5:U69" si="4">AN5</f>
        <v>0</v>
      </c>
      <c r="V5" s="34">
        <f t="shared" ref="V5:V69" si="5">IF(AND(ISBLANK(O5),ISBLANK(P5),ISBLANK(Q5)),AP5,AO5)</f>
        <v>0</v>
      </c>
      <c r="W5" s="34">
        <f t="shared" ref="W5:W69" si="6">AM5</f>
        <v>0</v>
      </c>
      <c r="X5" s="48" t="s">
        <v>37</v>
      </c>
      <c r="Y5" s="48" t="s">
        <v>38</v>
      </c>
      <c r="Z5" s="49" t="s">
        <v>39</v>
      </c>
      <c r="AA5" s="49" t="s">
        <v>40</v>
      </c>
      <c r="AB5" s="33" t="s">
        <v>41</v>
      </c>
      <c r="AC5" s="33" t="s">
        <v>42</v>
      </c>
      <c r="AD5" s="50">
        <f t="shared" ref="AD5:AD69" si="7">(I5/D5)</f>
        <v>0.44642857142857145</v>
      </c>
      <c r="AE5" s="51">
        <f t="shared" ref="AE5:AE68" si="8">IFERROR(+D5/VLOOKUP(AB5,$A$386:$E$428,3,FALSE),0)</f>
        <v>0</v>
      </c>
      <c r="AF5" s="51">
        <f t="shared" ref="AF5:AF68" si="9">IFERROR(+I5/VLOOKUP(AB5,$A$386:$E$428,5,FALSE),0)</f>
        <v>0</v>
      </c>
      <c r="AG5" s="52">
        <v>1538</v>
      </c>
      <c r="AH5" s="52">
        <v>1501</v>
      </c>
      <c r="AI5" s="52">
        <v>1</v>
      </c>
      <c r="AJ5" s="53" t="s">
        <v>43</v>
      </c>
    </row>
    <row r="6" spans="1:36" ht="15.75" hidden="1" x14ac:dyDescent="0.25">
      <c r="A6" s="33" t="s">
        <v>44</v>
      </c>
      <c r="B6" s="34">
        <v>45363</v>
      </c>
      <c r="C6" s="34"/>
      <c r="D6" s="35">
        <v>46</v>
      </c>
      <c r="E6" s="36" t="str">
        <f t="shared" ref="E6:E69" si="10">IF(AS6="-",IF(AW6=0,"",AW6),"")</f>
        <v/>
      </c>
      <c r="F6" s="37" t="str">
        <f t="shared" ref="F6:F69" si="11">IF(AS6="-",AX6,"")</f>
        <v/>
      </c>
      <c r="G6" s="38">
        <f t="shared" si="0"/>
        <v>0</v>
      </c>
      <c r="H6" s="38">
        <f t="shared" si="0"/>
        <v>0</v>
      </c>
      <c r="I6" s="39">
        <v>21</v>
      </c>
      <c r="J6" s="40">
        <f>IFERROR(+I6/$D6,"-")</f>
        <v>0.45652173913043476</v>
      </c>
      <c r="K6" s="41">
        <v>4.7359999999999998</v>
      </c>
      <c r="L6" s="42">
        <v>0.97599999999999998</v>
      </c>
      <c r="M6" s="39">
        <f t="shared" si="1"/>
        <v>21</v>
      </c>
      <c r="N6" s="40">
        <f t="shared" si="2"/>
        <v>0.45652173913043476</v>
      </c>
      <c r="O6" s="43"/>
      <c r="P6" s="44"/>
      <c r="Q6" s="45"/>
      <c r="R6" s="46"/>
      <c r="S6" s="47"/>
      <c r="T6" s="34">
        <f t="shared" si="3"/>
        <v>0</v>
      </c>
      <c r="U6" s="34">
        <f t="shared" si="4"/>
        <v>0</v>
      </c>
      <c r="V6" s="34">
        <f t="shared" si="5"/>
        <v>0</v>
      </c>
      <c r="W6" s="34">
        <f t="shared" si="6"/>
        <v>0</v>
      </c>
      <c r="X6" s="48" t="s">
        <v>37</v>
      </c>
      <c r="Y6" s="48" t="s">
        <v>38</v>
      </c>
      <c r="Z6" s="49" t="s">
        <v>39</v>
      </c>
      <c r="AA6" s="49" t="s">
        <v>40</v>
      </c>
      <c r="AB6" s="33" t="s">
        <v>41</v>
      </c>
      <c r="AC6" s="33" t="s">
        <v>42</v>
      </c>
      <c r="AD6" s="50">
        <f t="shared" si="7"/>
        <v>0.45652173913043476</v>
      </c>
      <c r="AE6" s="51">
        <f t="shared" si="8"/>
        <v>0</v>
      </c>
      <c r="AF6" s="51">
        <f t="shared" si="9"/>
        <v>0</v>
      </c>
      <c r="AG6" s="52">
        <v>1538</v>
      </c>
      <c r="AH6" s="52">
        <v>45363</v>
      </c>
      <c r="AI6" s="52">
        <v>1</v>
      </c>
      <c r="AJ6" s="53" t="s">
        <v>45</v>
      </c>
    </row>
    <row r="7" spans="1:36" ht="15.75" hidden="1" x14ac:dyDescent="0.25">
      <c r="A7" s="33" t="s">
        <v>46</v>
      </c>
      <c r="B7" s="34">
        <v>4044</v>
      </c>
      <c r="C7" s="34"/>
      <c r="D7" s="35">
        <v>180</v>
      </c>
      <c r="E7" s="36" t="str">
        <f t="shared" si="10"/>
        <v/>
      </c>
      <c r="F7" s="37" t="str">
        <f t="shared" si="11"/>
        <v/>
      </c>
      <c r="G7" s="38">
        <f t="shared" si="0"/>
        <v>0</v>
      </c>
      <c r="H7" s="38">
        <f t="shared" si="0"/>
        <v>0</v>
      </c>
      <c r="I7" s="39">
        <v>81</v>
      </c>
      <c r="J7" s="40">
        <f t="shared" ref="J7:J71" si="12">IF(I7&lt;&gt;"",+I7/$D7,"-")</f>
        <v>0.45</v>
      </c>
      <c r="K7" s="41">
        <v>8.6159999999999997</v>
      </c>
      <c r="L7" s="42">
        <v>1.01</v>
      </c>
      <c r="M7" s="39">
        <f t="shared" si="1"/>
        <v>81</v>
      </c>
      <c r="N7" s="40">
        <f t="shared" si="2"/>
        <v>0.45</v>
      </c>
      <c r="O7" s="43"/>
      <c r="P7" s="44"/>
      <c r="Q7" s="45"/>
      <c r="R7" s="46"/>
      <c r="S7" s="47"/>
      <c r="T7" s="34">
        <f t="shared" si="3"/>
        <v>0</v>
      </c>
      <c r="U7" s="34">
        <f t="shared" si="4"/>
        <v>0</v>
      </c>
      <c r="V7" s="34">
        <f t="shared" si="5"/>
        <v>0</v>
      </c>
      <c r="W7" s="34">
        <f t="shared" si="6"/>
        <v>0</v>
      </c>
      <c r="X7" s="48" t="s">
        <v>37</v>
      </c>
      <c r="Y7" s="48" t="s">
        <v>38</v>
      </c>
      <c r="Z7" s="49" t="s">
        <v>47</v>
      </c>
      <c r="AA7" s="49" t="s">
        <v>40</v>
      </c>
      <c r="AB7" s="33" t="s">
        <v>41</v>
      </c>
      <c r="AC7" s="33" t="s">
        <v>42</v>
      </c>
      <c r="AD7" s="50">
        <f t="shared" si="7"/>
        <v>0.45</v>
      </c>
      <c r="AE7" s="51">
        <f t="shared" si="8"/>
        <v>0</v>
      </c>
      <c r="AF7" s="51">
        <f t="shared" si="9"/>
        <v>0</v>
      </c>
      <c r="AG7" s="52">
        <v>1543</v>
      </c>
      <c r="AH7" s="52">
        <v>4044</v>
      </c>
      <c r="AI7" s="52">
        <v>1</v>
      </c>
      <c r="AJ7" s="53" t="s">
        <v>48</v>
      </c>
    </row>
    <row r="8" spans="1:36" ht="15.75" hidden="1" x14ac:dyDescent="0.25">
      <c r="A8" s="54" t="s">
        <v>49</v>
      </c>
      <c r="B8" s="34">
        <v>16</v>
      </c>
      <c r="C8" s="34"/>
      <c r="D8" s="35">
        <v>1216</v>
      </c>
      <c r="E8" s="36" t="str">
        <f t="shared" si="10"/>
        <v/>
      </c>
      <c r="F8" s="37" t="str">
        <f t="shared" si="11"/>
        <v/>
      </c>
      <c r="G8" s="38">
        <f t="shared" si="0"/>
        <v>0</v>
      </c>
      <c r="H8" s="38">
        <f t="shared" si="0"/>
        <v>0</v>
      </c>
      <c r="I8" s="39">
        <v>547</v>
      </c>
      <c r="J8" s="40">
        <f t="shared" si="12"/>
        <v>0.44983552631578949</v>
      </c>
      <c r="K8" s="41">
        <v>-17.600000000000001</v>
      </c>
      <c r="L8" s="42">
        <v>1</v>
      </c>
      <c r="M8" s="39">
        <f t="shared" si="1"/>
        <v>547</v>
      </c>
      <c r="N8" s="40">
        <f t="shared" si="2"/>
        <v>0.44983552631578949</v>
      </c>
      <c r="O8" s="43"/>
      <c r="P8" s="44"/>
      <c r="Q8" s="45"/>
      <c r="R8" s="46"/>
      <c r="S8" s="47"/>
      <c r="T8" s="34">
        <f t="shared" si="3"/>
        <v>0</v>
      </c>
      <c r="U8" s="34">
        <f t="shared" si="4"/>
        <v>0</v>
      </c>
      <c r="V8" s="34">
        <f t="shared" si="5"/>
        <v>0</v>
      </c>
      <c r="W8" s="34">
        <f t="shared" si="6"/>
        <v>0</v>
      </c>
      <c r="X8" s="48" t="s">
        <v>37</v>
      </c>
      <c r="Y8" s="48" t="s">
        <v>38</v>
      </c>
      <c r="Z8" s="49" t="s">
        <v>39</v>
      </c>
      <c r="AA8" s="49" t="s">
        <v>40</v>
      </c>
      <c r="AB8" s="33" t="s">
        <v>41</v>
      </c>
      <c r="AC8" s="55" t="s">
        <v>50</v>
      </c>
      <c r="AD8" s="50">
        <f t="shared" si="7"/>
        <v>0.44983552631578949</v>
      </c>
      <c r="AE8" s="51">
        <f t="shared" si="8"/>
        <v>0</v>
      </c>
      <c r="AF8" s="51">
        <f t="shared" si="9"/>
        <v>0</v>
      </c>
      <c r="AG8" s="52">
        <v>136</v>
      </c>
      <c r="AH8" s="52">
        <v>16</v>
      </c>
      <c r="AI8" s="52">
        <v>1</v>
      </c>
      <c r="AJ8" s="53" t="s">
        <v>51</v>
      </c>
    </row>
    <row r="9" spans="1:36" ht="15.75" hidden="1" x14ac:dyDescent="0.25">
      <c r="A9" s="33" t="s">
        <v>52</v>
      </c>
      <c r="B9" s="34">
        <v>22</v>
      </c>
      <c r="C9" s="34"/>
      <c r="D9" s="35">
        <v>312</v>
      </c>
      <c r="E9" s="36" t="str">
        <f t="shared" si="10"/>
        <v/>
      </c>
      <c r="F9" s="37" t="str">
        <f t="shared" si="11"/>
        <v/>
      </c>
      <c r="G9" s="38">
        <f t="shared" si="0"/>
        <v>0</v>
      </c>
      <c r="H9" s="38">
        <f t="shared" si="0"/>
        <v>0</v>
      </c>
      <c r="I9" s="39">
        <v>140</v>
      </c>
      <c r="J9" s="40">
        <f t="shared" si="12"/>
        <v>0.44871794871794873</v>
      </c>
      <c r="K9" s="41">
        <v>11.88</v>
      </c>
      <c r="L9" s="42">
        <v>1</v>
      </c>
      <c r="M9" s="39">
        <f t="shared" si="1"/>
        <v>140</v>
      </c>
      <c r="N9" s="40">
        <f t="shared" si="2"/>
        <v>0.44871794871794873</v>
      </c>
      <c r="O9" s="43"/>
      <c r="P9" s="44"/>
      <c r="Q9" s="45"/>
      <c r="R9" s="46"/>
      <c r="S9" s="47"/>
      <c r="T9" s="34">
        <f t="shared" si="3"/>
        <v>0</v>
      </c>
      <c r="U9" s="34">
        <f t="shared" si="4"/>
        <v>0</v>
      </c>
      <c r="V9" s="34">
        <f t="shared" si="5"/>
        <v>0</v>
      </c>
      <c r="W9" s="34">
        <f t="shared" si="6"/>
        <v>0</v>
      </c>
      <c r="X9" s="48" t="s">
        <v>37</v>
      </c>
      <c r="Y9" s="48" t="s">
        <v>38</v>
      </c>
      <c r="Z9" s="49" t="s">
        <v>39</v>
      </c>
      <c r="AA9" s="49" t="s">
        <v>40</v>
      </c>
      <c r="AB9" s="33" t="s">
        <v>41</v>
      </c>
      <c r="AC9" s="55" t="s">
        <v>50</v>
      </c>
      <c r="AD9" s="50">
        <f t="shared" si="7"/>
        <v>0.44871794871794873</v>
      </c>
      <c r="AE9" s="51">
        <f t="shared" si="8"/>
        <v>0</v>
      </c>
      <c r="AF9" s="51">
        <f t="shared" si="9"/>
        <v>0</v>
      </c>
      <c r="AG9" s="52">
        <v>131</v>
      </c>
      <c r="AH9" s="52">
        <v>22</v>
      </c>
      <c r="AI9" s="52">
        <v>1</v>
      </c>
      <c r="AJ9" s="53" t="s">
        <v>53</v>
      </c>
    </row>
    <row r="10" spans="1:36" ht="15.75" hidden="1" x14ac:dyDescent="0.25">
      <c r="A10" s="33" t="s">
        <v>54</v>
      </c>
      <c r="B10" s="34">
        <v>24</v>
      </c>
      <c r="C10" s="34"/>
      <c r="D10" s="35">
        <v>180</v>
      </c>
      <c r="E10" s="36" t="str">
        <f t="shared" si="10"/>
        <v/>
      </c>
      <c r="F10" s="37" t="str">
        <f t="shared" si="11"/>
        <v/>
      </c>
      <c r="G10" s="38">
        <f t="shared" si="0"/>
        <v>0</v>
      </c>
      <c r="H10" s="38">
        <f t="shared" si="0"/>
        <v>0</v>
      </c>
      <c r="I10" s="39">
        <v>81</v>
      </c>
      <c r="J10" s="40">
        <f t="shared" si="12"/>
        <v>0.45</v>
      </c>
      <c r="K10" s="41">
        <v>19.940000000000001</v>
      </c>
      <c r="L10" s="42">
        <v>0.97</v>
      </c>
      <c r="M10" s="39">
        <f t="shared" si="1"/>
        <v>81</v>
      </c>
      <c r="N10" s="40">
        <f t="shared" si="2"/>
        <v>0.45</v>
      </c>
      <c r="O10" s="43"/>
      <c r="P10" s="44"/>
      <c r="Q10" s="45"/>
      <c r="R10" s="46"/>
      <c r="S10" s="47"/>
      <c r="T10" s="34">
        <f t="shared" si="3"/>
        <v>0</v>
      </c>
      <c r="U10" s="34">
        <f t="shared" si="4"/>
        <v>0</v>
      </c>
      <c r="V10" s="34">
        <f t="shared" si="5"/>
        <v>0</v>
      </c>
      <c r="W10" s="34">
        <f t="shared" si="6"/>
        <v>0</v>
      </c>
      <c r="X10" s="48" t="s">
        <v>37</v>
      </c>
      <c r="Y10" s="48" t="s">
        <v>38</v>
      </c>
      <c r="Z10" s="49" t="s">
        <v>39</v>
      </c>
      <c r="AA10" s="49" t="s">
        <v>40</v>
      </c>
      <c r="AB10" s="33" t="s">
        <v>41</v>
      </c>
      <c r="AC10" s="33"/>
      <c r="AD10" s="50">
        <f t="shared" si="7"/>
        <v>0.45</v>
      </c>
      <c r="AE10" s="51">
        <f t="shared" si="8"/>
        <v>0</v>
      </c>
      <c r="AF10" s="51">
        <f t="shared" si="9"/>
        <v>0</v>
      </c>
      <c r="AG10" s="52">
        <v>187</v>
      </c>
      <c r="AH10" s="52">
        <v>24</v>
      </c>
      <c r="AI10" s="52">
        <v>1</v>
      </c>
      <c r="AJ10" s="53" t="s">
        <v>55</v>
      </c>
    </row>
    <row r="11" spans="1:36" ht="15.75" hidden="1" x14ac:dyDescent="0.25">
      <c r="A11" s="33" t="s">
        <v>56</v>
      </c>
      <c r="B11" s="34">
        <v>12</v>
      </c>
      <c r="C11" s="34"/>
      <c r="D11" s="35">
        <v>1048</v>
      </c>
      <c r="E11" s="36" t="str">
        <f t="shared" si="10"/>
        <v/>
      </c>
      <c r="F11" s="37" t="str">
        <f t="shared" si="11"/>
        <v/>
      </c>
      <c r="G11" s="38">
        <f t="shared" si="0"/>
        <v>0</v>
      </c>
      <c r="H11" s="38">
        <f t="shared" si="0"/>
        <v>0</v>
      </c>
      <c r="I11" s="39">
        <v>472</v>
      </c>
      <c r="J11" s="40">
        <f t="shared" si="12"/>
        <v>0.45038167938931295</v>
      </c>
      <c r="K11" s="41">
        <v>-53.9</v>
      </c>
      <c r="L11" s="42">
        <v>0.995</v>
      </c>
      <c r="M11" s="39">
        <f t="shared" si="1"/>
        <v>472</v>
      </c>
      <c r="N11" s="40">
        <f t="shared" si="2"/>
        <v>0.45038167938931295</v>
      </c>
      <c r="O11" s="43"/>
      <c r="P11" s="44"/>
      <c r="Q11" s="45"/>
      <c r="R11" s="46"/>
      <c r="S11" s="47"/>
      <c r="T11" s="34">
        <f t="shared" si="3"/>
        <v>0</v>
      </c>
      <c r="U11" s="34">
        <f t="shared" si="4"/>
        <v>0</v>
      </c>
      <c r="V11" s="34">
        <f t="shared" si="5"/>
        <v>0</v>
      </c>
      <c r="W11" s="34">
        <f t="shared" si="6"/>
        <v>0</v>
      </c>
      <c r="X11" s="48" t="s">
        <v>57</v>
      </c>
      <c r="Y11" s="48" t="s">
        <v>38</v>
      </c>
      <c r="Z11" s="49" t="s">
        <v>47</v>
      </c>
      <c r="AA11" s="49" t="s">
        <v>40</v>
      </c>
      <c r="AB11" s="33" t="s">
        <v>41</v>
      </c>
      <c r="AC11" s="55" t="s">
        <v>50</v>
      </c>
      <c r="AD11" s="50">
        <f t="shared" si="7"/>
        <v>0.45038167938931295</v>
      </c>
      <c r="AE11" s="51">
        <f t="shared" si="8"/>
        <v>0</v>
      </c>
      <c r="AF11" s="51">
        <f t="shared" si="9"/>
        <v>0</v>
      </c>
      <c r="AG11" s="52">
        <v>134</v>
      </c>
      <c r="AH11" s="52">
        <v>12</v>
      </c>
      <c r="AI11" s="52">
        <v>1</v>
      </c>
      <c r="AJ11" s="53" t="s">
        <v>58</v>
      </c>
    </row>
    <row r="12" spans="1:36" ht="15.75" hidden="1" x14ac:dyDescent="0.25">
      <c r="A12" s="33" t="s">
        <v>59</v>
      </c>
      <c r="B12" s="34">
        <v>301</v>
      </c>
      <c r="C12" s="34"/>
      <c r="D12" s="35">
        <v>400</v>
      </c>
      <c r="E12" s="36" t="str">
        <f t="shared" si="10"/>
        <v/>
      </c>
      <c r="F12" s="37" t="str">
        <f t="shared" si="11"/>
        <v/>
      </c>
      <c r="G12" s="38">
        <f t="shared" si="0"/>
        <v>0</v>
      </c>
      <c r="H12" s="38">
        <f t="shared" si="0"/>
        <v>0</v>
      </c>
      <c r="I12" s="39">
        <v>180</v>
      </c>
      <c r="J12" s="40">
        <f t="shared" si="12"/>
        <v>0.45</v>
      </c>
      <c r="K12" s="41">
        <v>18.559999999999999</v>
      </c>
      <c r="L12" s="42">
        <v>0.998</v>
      </c>
      <c r="M12" s="39">
        <f t="shared" si="1"/>
        <v>180</v>
      </c>
      <c r="N12" s="40">
        <f t="shared" si="2"/>
        <v>0.45</v>
      </c>
      <c r="O12" s="43"/>
      <c r="P12" s="44"/>
      <c r="Q12" s="45"/>
      <c r="R12" s="46"/>
      <c r="S12" s="47"/>
      <c r="T12" s="34">
        <f t="shared" si="3"/>
        <v>0</v>
      </c>
      <c r="U12" s="34">
        <f t="shared" si="4"/>
        <v>0</v>
      </c>
      <c r="V12" s="34">
        <f t="shared" si="5"/>
        <v>0</v>
      </c>
      <c r="W12" s="34">
        <f t="shared" si="6"/>
        <v>0</v>
      </c>
      <c r="X12" s="48" t="s">
        <v>57</v>
      </c>
      <c r="Y12" s="48" t="s">
        <v>38</v>
      </c>
      <c r="Z12" s="49" t="s">
        <v>47</v>
      </c>
      <c r="AA12" s="49" t="s">
        <v>40</v>
      </c>
      <c r="AB12" s="33" t="s">
        <v>41</v>
      </c>
      <c r="AC12" s="55" t="s">
        <v>50</v>
      </c>
      <c r="AD12" s="50">
        <f t="shared" si="7"/>
        <v>0.45</v>
      </c>
      <c r="AE12" s="51">
        <f t="shared" si="8"/>
        <v>0</v>
      </c>
      <c r="AF12" s="51">
        <f t="shared" si="9"/>
        <v>0</v>
      </c>
      <c r="AG12" s="52">
        <v>326</v>
      </c>
      <c r="AH12" s="52">
        <v>301</v>
      </c>
      <c r="AI12" s="52">
        <v>1</v>
      </c>
      <c r="AJ12" s="53" t="s">
        <v>60</v>
      </c>
    </row>
    <row r="13" spans="1:36" ht="15.75" hidden="1" x14ac:dyDescent="0.25">
      <c r="A13" s="33" t="s">
        <v>61</v>
      </c>
      <c r="B13" s="34">
        <v>343</v>
      </c>
      <c r="C13" s="34"/>
      <c r="D13" s="35">
        <v>210</v>
      </c>
      <c r="E13" s="36" t="str">
        <f t="shared" si="10"/>
        <v/>
      </c>
      <c r="F13" s="37" t="str">
        <f t="shared" si="11"/>
        <v/>
      </c>
      <c r="G13" s="38">
        <f t="shared" si="0"/>
        <v>0</v>
      </c>
      <c r="H13" s="38">
        <f t="shared" si="0"/>
        <v>0</v>
      </c>
      <c r="I13" s="39">
        <v>95</v>
      </c>
      <c r="J13" s="40">
        <f t="shared" si="12"/>
        <v>0.45238095238095238</v>
      </c>
      <c r="K13" s="41">
        <v>16.39</v>
      </c>
      <c r="L13" s="42">
        <v>1.01</v>
      </c>
      <c r="M13" s="39">
        <f t="shared" si="1"/>
        <v>95</v>
      </c>
      <c r="N13" s="40">
        <f t="shared" si="2"/>
        <v>0.45238095238095238</v>
      </c>
      <c r="O13" s="43"/>
      <c r="P13" s="44"/>
      <c r="Q13" s="45"/>
      <c r="R13" s="46"/>
      <c r="S13" s="47"/>
      <c r="T13" s="34">
        <f t="shared" si="3"/>
        <v>0</v>
      </c>
      <c r="U13" s="34">
        <f t="shared" si="4"/>
        <v>0</v>
      </c>
      <c r="V13" s="34">
        <f t="shared" si="5"/>
        <v>0</v>
      </c>
      <c r="W13" s="34">
        <f t="shared" si="6"/>
        <v>0</v>
      </c>
      <c r="X13" s="48" t="s">
        <v>57</v>
      </c>
      <c r="Y13" s="48" t="s">
        <v>38</v>
      </c>
      <c r="Z13" s="49" t="s">
        <v>47</v>
      </c>
      <c r="AA13" s="49" t="s">
        <v>40</v>
      </c>
      <c r="AB13" s="33" t="s">
        <v>41</v>
      </c>
      <c r="AC13" s="33" t="s">
        <v>62</v>
      </c>
      <c r="AD13" s="50">
        <f t="shared" si="7"/>
        <v>0.45238095238095238</v>
      </c>
      <c r="AE13" s="51">
        <f t="shared" si="8"/>
        <v>0</v>
      </c>
      <c r="AF13" s="51">
        <f t="shared" si="9"/>
        <v>0</v>
      </c>
      <c r="AG13" s="52">
        <v>1525</v>
      </c>
      <c r="AH13" s="52">
        <v>343</v>
      </c>
      <c r="AI13" s="52">
        <v>1</v>
      </c>
      <c r="AJ13" s="53" t="s">
        <v>63</v>
      </c>
    </row>
    <row r="14" spans="1:36" ht="15.75" hidden="1" x14ac:dyDescent="0.25">
      <c r="A14" s="33" t="s">
        <v>64</v>
      </c>
      <c r="B14" s="34">
        <v>305</v>
      </c>
      <c r="C14" s="34"/>
      <c r="D14" s="35">
        <v>380</v>
      </c>
      <c r="E14" s="36" t="str">
        <f t="shared" si="10"/>
        <v/>
      </c>
      <c r="F14" s="37" t="str">
        <f t="shared" si="11"/>
        <v/>
      </c>
      <c r="G14" s="38">
        <f t="shared" si="0"/>
        <v>0</v>
      </c>
      <c r="H14" s="38">
        <f t="shared" si="0"/>
        <v>0</v>
      </c>
      <c r="I14" s="39">
        <v>171</v>
      </c>
      <c r="J14" s="40">
        <f t="shared" si="12"/>
        <v>0.45</v>
      </c>
      <c r="K14" s="41">
        <v>7.1020000000000003</v>
      </c>
      <c r="L14" s="42">
        <v>0.996</v>
      </c>
      <c r="M14" s="39">
        <f t="shared" si="1"/>
        <v>171</v>
      </c>
      <c r="N14" s="40">
        <f t="shared" si="2"/>
        <v>0.45</v>
      </c>
      <c r="O14" s="43"/>
      <c r="P14" s="44"/>
      <c r="Q14" s="45"/>
      <c r="R14" s="46"/>
      <c r="S14" s="47"/>
      <c r="T14" s="34">
        <f t="shared" si="3"/>
        <v>0</v>
      </c>
      <c r="U14" s="34">
        <f t="shared" si="4"/>
        <v>0</v>
      </c>
      <c r="V14" s="34">
        <f t="shared" si="5"/>
        <v>0</v>
      </c>
      <c r="W14" s="34">
        <f t="shared" si="6"/>
        <v>0</v>
      </c>
      <c r="X14" s="48" t="s">
        <v>57</v>
      </c>
      <c r="Y14" s="48" t="s">
        <v>38</v>
      </c>
      <c r="Z14" s="49" t="s">
        <v>47</v>
      </c>
      <c r="AA14" s="49" t="s">
        <v>40</v>
      </c>
      <c r="AB14" s="33" t="s">
        <v>41</v>
      </c>
      <c r="AC14" s="55" t="s">
        <v>50</v>
      </c>
      <c r="AD14" s="50">
        <f t="shared" si="7"/>
        <v>0.45</v>
      </c>
      <c r="AE14" s="51">
        <f t="shared" si="8"/>
        <v>0</v>
      </c>
      <c r="AF14" s="51">
        <f t="shared" si="9"/>
        <v>0</v>
      </c>
      <c r="AG14" s="52">
        <v>396</v>
      </c>
      <c r="AH14" s="52">
        <v>305</v>
      </c>
      <c r="AI14" s="52">
        <v>1</v>
      </c>
      <c r="AJ14" s="53" t="s">
        <v>65</v>
      </c>
    </row>
    <row r="15" spans="1:36" ht="15.75" hidden="1" x14ac:dyDescent="0.25">
      <c r="A15" s="33" t="s">
        <v>66</v>
      </c>
      <c r="B15" s="34">
        <v>28</v>
      </c>
      <c r="C15" s="34"/>
      <c r="D15" s="35">
        <v>328</v>
      </c>
      <c r="E15" s="36" t="str">
        <f t="shared" si="10"/>
        <v/>
      </c>
      <c r="F15" s="37" t="str">
        <f t="shared" si="11"/>
        <v/>
      </c>
      <c r="G15" s="38">
        <f t="shared" si="0"/>
        <v>0</v>
      </c>
      <c r="H15" s="38">
        <f t="shared" si="0"/>
        <v>0</v>
      </c>
      <c r="I15" s="39">
        <v>148</v>
      </c>
      <c r="J15" s="40">
        <f t="shared" si="12"/>
        <v>0.45121951219512196</v>
      </c>
      <c r="K15" s="41">
        <v>-1.33</v>
      </c>
      <c r="L15" s="42">
        <v>0.996</v>
      </c>
      <c r="M15" s="39">
        <f t="shared" si="1"/>
        <v>148</v>
      </c>
      <c r="N15" s="40">
        <f t="shared" si="2"/>
        <v>0.45121951219512196</v>
      </c>
      <c r="O15" s="43"/>
      <c r="P15" s="44"/>
      <c r="Q15" s="45"/>
      <c r="R15" s="46"/>
      <c r="S15" s="47"/>
      <c r="T15" s="34">
        <f t="shared" si="3"/>
        <v>0</v>
      </c>
      <c r="U15" s="34">
        <f t="shared" si="4"/>
        <v>0</v>
      </c>
      <c r="V15" s="34">
        <f t="shared" si="5"/>
        <v>0</v>
      </c>
      <c r="W15" s="34">
        <f t="shared" si="6"/>
        <v>0</v>
      </c>
      <c r="X15" s="48" t="s">
        <v>57</v>
      </c>
      <c r="Y15" s="48" t="s">
        <v>38</v>
      </c>
      <c r="Z15" s="49" t="s">
        <v>47</v>
      </c>
      <c r="AA15" s="49" t="s">
        <v>40</v>
      </c>
      <c r="AB15" s="33" t="s">
        <v>41</v>
      </c>
      <c r="AC15" s="33"/>
      <c r="AD15" s="50">
        <f t="shared" si="7"/>
        <v>0.45121951219512196</v>
      </c>
      <c r="AE15" s="51">
        <f t="shared" si="8"/>
        <v>0</v>
      </c>
      <c r="AF15" s="51">
        <f t="shared" si="9"/>
        <v>0</v>
      </c>
      <c r="AG15" s="52">
        <v>190</v>
      </c>
      <c r="AH15" s="52">
        <v>28</v>
      </c>
      <c r="AI15" s="52">
        <v>1</v>
      </c>
      <c r="AJ15" s="53" t="s">
        <v>67</v>
      </c>
    </row>
    <row r="16" spans="1:36" ht="15.75" hidden="1" x14ac:dyDescent="0.25">
      <c r="A16" s="33" t="s">
        <v>68</v>
      </c>
      <c r="B16" s="34">
        <v>20</v>
      </c>
      <c r="C16" s="34"/>
      <c r="D16" s="35">
        <v>1488</v>
      </c>
      <c r="E16" s="36" t="str">
        <f t="shared" si="10"/>
        <v/>
      </c>
      <c r="F16" s="37" t="str">
        <f t="shared" si="11"/>
        <v/>
      </c>
      <c r="G16" s="38">
        <f t="shared" si="0"/>
        <v>0</v>
      </c>
      <c r="H16" s="38">
        <f t="shared" si="0"/>
        <v>0</v>
      </c>
      <c r="I16" s="39">
        <v>670</v>
      </c>
      <c r="J16" s="40">
        <f t="shared" si="12"/>
        <v>0.45026881720430106</v>
      </c>
      <c r="K16" s="41">
        <v>25.69</v>
      </c>
      <c r="L16" s="42">
        <v>1.04</v>
      </c>
      <c r="M16" s="39">
        <f t="shared" si="1"/>
        <v>670</v>
      </c>
      <c r="N16" s="40">
        <f t="shared" si="2"/>
        <v>0.45026881720430106</v>
      </c>
      <c r="O16" s="43"/>
      <c r="P16" s="44"/>
      <c r="Q16" s="45"/>
      <c r="R16" s="46"/>
      <c r="S16" s="47"/>
      <c r="T16" s="34">
        <f t="shared" si="3"/>
        <v>0</v>
      </c>
      <c r="U16" s="34">
        <f t="shared" si="4"/>
        <v>0</v>
      </c>
      <c r="V16" s="34">
        <f t="shared" si="5"/>
        <v>0</v>
      </c>
      <c r="W16" s="34">
        <f t="shared" si="6"/>
        <v>0</v>
      </c>
      <c r="X16" s="48" t="s">
        <v>57</v>
      </c>
      <c r="Y16" s="48" t="s">
        <v>38</v>
      </c>
      <c r="Z16" s="49" t="s">
        <v>39</v>
      </c>
      <c r="AA16" s="49" t="s">
        <v>40</v>
      </c>
      <c r="AB16" s="33" t="s">
        <v>41</v>
      </c>
      <c r="AC16" s="33"/>
      <c r="AD16" s="50">
        <f t="shared" si="7"/>
        <v>0.45026881720430106</v>
      </c>
      <c r="AE16" s="51">
        <f t="shared" si="8"/>
        <v>0</v>
      </c>
      <c r="AF16" s="51">
        <f t="shared" si="9"/>
        <v>0</v>
      </c>
      <c r="AG16" s="52">
        <v>100</v>
      </c>
      <c r="AH16" s="52">
        <v>20</v>
      </c>
      <c r="AI16" s="52">
        <v>1</v>
      </c>
      <c r="AJ16" s="53" t="s">
        <v>69</v>
      </c>
    </row>
    <row r="17" spans="1:36" ht="15.75" x14ac:dyDescent="0.25">
      <c r="A17" s="33" t="s">
        <v>70</v>
      </c>
      <c r="B17" s="34">
        <v>500</v>
      </c>
      <c r="C17" s="136" t="s">
        <v>894</v>
      </c>
      <c r="D17" s="35">
        <v>1396</v>
      </c>
      <c r="E17" s="36" t="str">
        <f t="shared" si="10"/>
        <v/>
      </c>
      <c r="F17" s="37" t="str">
        <f t="shared" si="11"/>
        <v/>
      </c>
      <c r="G17" s="38">
        <f t="shared" si="0"/>
        <v>0</v>
      </c>
      <c r="H17" s="38">
        <f t="shared" si="0"/>
        <v>0</v>
      </c>
      <c r="I17" s="39">
        <v>628</v>
      </c>
      <c r="J17" s="40">
        <f t="shared" si="12"/>
        <v>0.44985673352435529</v>
      </c>
      <c r="K17" s="41">
        <v>-101</v>
      </c>
      <c r="L17" s="42">
        <v>1.02</v>
      </c>
      <c r="M17" s="39">
        <f t="shared" si="1"/>
        <v>628</v>
      </c>
      <c r="N17" s="40">
        <f t="shared" si="2"/>
        <v>0.44985673352435529</v>
      </c>
      <c r="O17" s="43"/>
      <c r="P17" s="44"/>
      <c r="Q17" s="45"/>
      <c r="R17" s="46"/>
      <c r="S17" s="47"/>
      <c r="T17" s="34">
        <f t="shared" si="3"/>
        <v>0</v>
      </c>
      <c r="U17" s="34">
        <f t="shared" si="4"/>
        <v>0</v>
      </c>
      <c r="V17" s="34">
        <f t="shared" si="5"/>
        <v>0</v>
      </c>
      <c r="W17" s="34">
        <f t="shared" si="6"/>
        <v>0</v>
      </c>
      <c r="X17" s="48" t="s">
        <v>71</v>
      </c>
      <c r="Y17" s="48" t="s">
        <v>38</v>
      </c>
      <c r="Z17" s="49" t="s">
        <v>39</v>
      </c>
      <c r="AA17" s="49" t="s">
        <v>40</v>
      </c>
      <c r="AB17" s="33" t="s">
        <v>41</v>
      </c>
      <c r="AC17" s="33" t="s">
        <v>72</v>
      </c>
      <c r="AD17" s="50">
        <f t="shared" si="7"/>
        <v>0.44985673352435529</v>
      </c>
      <c r="AE17" s="51">
        <f t="shared" si="8"/>
        <v>0</v>
      </c>
      <c r="AF17" s="51">
        <f t="shared" si="9"/>
        <v>0</v>
      </c>
      <c r="AG17" s="52">
        <v>536</v>
      </c>
      <c r="AH17" s="52">
        <v>500</v>
      </c>
      <c r="AI17" s="52">
        <v>1</v>
      </c>
      <c r="AJ17" s="53" t="s">
        <v>73</v>
      </c>
    </row>
    <row r="18" spans="1:36" ht="15.75" x14ac:dyDescent="0.25">
      <c r="A18" s="33" t="s">
        <v>74</v>
      </c>
      <c r="B18" s="34">
        <v>521</v>
      </c>
      <c r="C18" s="136"/>
      <c r="D18" s="35">
        <v>80</v>
      </c>
      <c r="E18" s="36" t="str">
        <f t="shared" si="10"/>
        <v/>
      </c>
      <c r="F18" s="37" t="str">
        <f t="shared" si="11"/>
        <v/>
      </c>
      <c r="G18" s="38">
        <f t="shared" si="0"/>
        <v>0</v>
      </c>
      <c r="H18" s="38">
        <f t="shared" si="0"/>
        <v>0</v>
      </c>
      <c r="I18" s="39">
        <v>36</v>
      </c>
      <c r="J18" s="40">
        <f t="shared" si="12"/>
        <v>0.45</v>
      </c>
      <c r="K18" s="41">
        <v>12.75</v>
      </c>
      <c r="L18" s="42">
        <v>1.01</v>
      </c>
      <c r="M18" s="39">
        <f t="shared" si="1"/>
        <v>36</v>
      </c>
      <c r="N18" s="40">
        <f t="shared" si="2"/>
        <v>0.45</v>
      </c>
      <c r="O18" s="43"/>
      <c r="P18" s="44"/>
      <c r="Q18" s="45"/>
      <c r="R18" s="46"/>
      <c r="S18" s="47"/>
      <c r="T18" s="34">
        <f t="shared" si="3"/>
        <v>0</v>
      </c>
      <c r="U18" s="34">
        <f t="shared" si="4"/>
        <v>0</v>
      </c>
      <c r="V18" s="34">
        <f t="shared" si="5"/>
        <v>0</v>
      </c>
      <c r="W18" s="34">
        <f t="shared" si="6"/>
        <v>0</v>
      </c>
      <c r="X18" s="48" t="s">
        <v>71</v>
      </c>
      <c r="Y18" s="48" t="s">
        <v>38</v>
      </c>
      <c r="Z18" s="49" t="s">
        <v>39</v>
      </c>
      <c r="AA18" s="49" t="s">
        <v>75</v>
      </c>
      <c r="AB18" s="33" t="s">
        <v>41</v>
      </c>
      <c r="AC18" s="33" t="s">
        <v>76</v>
      </c>
      <c r="AD18" s="50">
        <f t="shared" si="7"/>
        <v>0.45</v>
      </c>
      <c r="AE18" s="51">
        <f t="shared" si="8"/>
        <v>0</v>
      </c>
      <c r="AF18" s="51">
        <f t="shared" si="9"/>
        <v>0</v>
      </c>
      <c r="AG18" s="52">
        <v>683</v>
      </c>
      <c r="AH18" s="52">
        <v>521</v>
      </c>
      <c r="AI18" s="52">
        <v>1</v>
      </c>
      <c r="AJ18" s="53" t="s">
        <v>77</v>
      </c>
    </row>
    <row r="19" spans="1:36" ht="15.75" x14ac:dyDescent="0.25">
      <c r="A19" s="33" t="s">
        <v>78</v>
      </c>
      <c r="B19" s="34">
        <v>522</v>
      </c>
      <c r="C19" s="136"/>
      <c r="D19" s="35">
        <v>108</v>
      </c>
      <c r="E19" s="36" t="str">
        <f t="shared" si="10"/>
        <v/>
      </c>
      <c r="F19" s="37" t="str">
        <f t="shared" si="11"/>
        <v/>
      </c>
      <c r="G19" s="38">
        <f t="shared" si="0"/>
        <v>0</v>
      </c>
      <c r="H19" s="38">
        <f t="shared" si="0"/>
        <v>0</v>
      </c>
      <c r="I19" s="39">
        <v>49</v>
      </c>
      <c r="J19" s="40">
        <f t="shared" si="12"/>
        <v>0.45370370370370372</v>
      </c>
      <c r="K19" s="41">
        <v>16.18</v>
      </c>
      <c r="L19" s="42">
        <v>1.02</v>
      </c>
      <c r="M19" s="39">
        <f t="shared" si="1"/>
        <v>49</v>
      </c>
      <c r="N19" s="40">
        <f t="shared" si="2"/>
        <v>0.45370370370370372</v>
      </c>
      <c r="O19" s="43"/>
      <c r="P19" s="44"/>
      <c r="Q19" s="45"/>
      <c r="R19" s="46"/>
      <c r="S19" s="47"/>
      <c r="T19" s="34">
        <f t="shared" si="3"/>
        <v>0</v>
      </c>
      <c r="U19" s="34">
        <f t="shared" si="4"/>
        <v>0</v>
      </c>
      <c r="V19" s="34">
        <f t="shared" si="5"/>
        <v>0</v>
      </c>
      <c r="W19" s="34">
        <f t="shared" si="6"/>
        <v>0</v>
      </c>
      <c r="X19" s="48" t="s">
        <v>71</v>
      </c>
      <c r="Y19" s="48" t="s">
        <v>38</v>
      </c>
      <c r="Z19" s="49" t="s">
        <v>47</v>
      </c>
      <c r="AA19" s="49" t="s">
        <v>75</v>
      </c>
      <c r="AB19" s="33" t="s">
        <v>41</v>
      </c>
      <c r="AC19" s="33" t="s">
        <v>76</v>
      </c>
      <c r="AD19" s="50">
        <f t="shared" si="7"/>
        <v>0.45370370370370372</v>
      </c>
      <c r="AE19" s="51">
        <f t="shared" si="8"/>
        <v>0</v>
      </c>
      <c r="AF19" s="51">
        <f t="shared" si="9"/>
        <v>0</v>
      </c>
      <c r="AG19" s="52">
        <v>687</v>
      </c>
      <c r="AH19" s="52">
        <v>522</v>
      </c>
      <c r="AI19" s="52">
        <v>1</v>
      </c>
      <c r="AJ19" s="53" t="s">
        <v>79</v>
      </c>
    </row>
    <row r="20" spans="1:36" ht="15.75" x14ac:dyDescent="0.25">
      <c r="A20" s="33" t="s">
        <v>80</v>
      </c>
      <c r="B20" s="34">
        <v>523</v>
      </c>
      <c r="C20" s="136"/>
      <c r="D20" s="35">
        <v>32</v>
      </c>
      <c r="E20" s="36" t="str">
        <f t="shared" si="10"/>
        <v/>
      </c>
      <c r="F20" s="37" t="str">
        <f t="shared" si="11"/>
        <v/>
      </c>
      <c r="G20" s="38">
        <f t="shared" si="0"/>
        <v>0</v>
      </c>
      <c r="H20" s="38">
        <f t="shared" si="0"/>
        <v>0</v>
      </c>
      <c r="I20" s="39">
        <v>14</v>
      </c>
      <c r="J20" s="40">
        <f t="shared" si="12"/>
        <v>0.4375</v>
      </c>
      <c r="K20" s="41">
        <v>2.3450000000000002</v>
      </c>
      <c r="L20" s="42">
        <v>1</v>
      </c>
      <c r="M20" s="39">
        <f t="shared" si="1"/>
        <v>14</v>
      </c>
      <c r="N20" s="40">
        <f t="shared" si="2"/>
        <v>0.4375</v>
      </c>
      <c r="O20" s="43"/>
      <c r="P20" s="44"/>
      <c r="Q20" s="45"/>
      <c r="R20" s="46"/>
      <c r="S20" s="47"/>
      <c r="T20" s="34">
        <f t="shared" si="3"/>
        <v>0</v>
      </c>
      <c r="U20" s="34">
        <f t="shared" si="4"/>
        <v>0</v>
      </c>
      <c r="V20" s="34">
        <f t="shared" si="5"/>
        <v>0</v>
      </c>
      <c r="W20" s="34">
        <f t="shared" si="6"/>
        <v>0</v>
      </c>
      <c r="X20" s="48" t="s">
        <v>71</v>
      </c>
      <c r="Y20" s="48" t="s">
        <v>38</v>
      </c>
      <c r="Z20" s="49" t="s">
        <v>47</v>
      </c>
      <c r="AA20" s="49" t="s">
        <v>75</v>
      </c>
      <c r="AB20" s="33" t="s">
        <v>41</v>
      </c>
      <c r="AC20" s="33" t="s">
        <v>76</v>
      </c>
      <c r="AD20" s="50">
        <f t="shared" si="7"/>
        <v>0.4375</v>
      </c>
      <c r="AE20" s="51">
        <f t="shared" si="8"/>
        <v>0</v>
      </c>
      <c r="AF20" s="51">
        <f t="shared" si="9"/>
        <v>0</v>
      </c>
      <c r="AG20" s="52">
        <v>693</v>
      </c>
      <c r="AH20" s="52">
        <v>523</v>
      </c>
      <c r="AI20" s="52">
        <v>1</v>
      </c>
      <c r="AJ20" s="53" t="s">
        <v>81</v>
      </c>
    </row>
    <row r="21" spans="1:36" ht="15.75" hidden="1" x14ac:dyDescent="0.25">
      <c r="A21" s="33" t="s">
        <v>82</v>
      </c>
      <c r="B21" s="34">
        <v>9446</v>
      </c>
      <c r="C21" s="34"/>
      <c r="D21" s="35">
        <v>53</v>
      </c>
      <c r="E21" s="36" t="str">
        <f t="shared" si="10"/>
        <v/>
      </c>
      <c r="F21" s="37" t="str">
        <f t="shared" si="11"/>
        <v/>
      </c>
      <c r="G21" s="38">
        <f t="shared" si="0"/>
        <v>0</v>
      </c>
      <c r="H21" s="38">
        <f t="shared" si="0"/>
        <v>0</v>
      </c>
      <c r="I21" s="39">
        <v>29</v>
      </c>
      <c r="J21" s="40">
        <f t="shared" si="12"/>
        <v>0.54716981132075471</v>
      </c>
      <c r="K21" s="41">
        <v>-4.7300000000000004</v>
      </c>
      <c r="L21" s="42">
        <v>0.96699999999999997</v>
      </c>
      <c r="M21" s="39">
        <f t="shared" si="1"/>
        <v>29</v>
      </c>
      <c r="N21" s="40">
        <f t="shared" si="2"/>
        <v>0.54716981132075471</v>
      </c>
      <c r="O21" s="56"/>
      <c r="P21" s="44"/>
      <c r="Q21" s="45"/>
      <c r="R21" s="46"/>
      <c r="S21" s="47"/>
      <c r="T21" s="34">
        <f t="shared" si="3"/>
        <v>0</v>
      </c>
      <c r="U21" s="34">
        <f t="shared" si="4"/>
        <v>0</v>
      </c>
      <c r="V21" s="34">
        <f t="shared" si="5"/>
        <v>0</v>
      </c>
      <c r="W21" s="34">
        <f t="shared" si="6"/>
        <v>0</v>
      </c>
      <c r="X21" s="48" t="s">
        <v>83</v>
      </c>
      <c r="Y21" s="48" t="s">
        <v>38</v>
      </c>
      <c r="Z21" s="57" t="s">
        <v>39</v>
      </c>
      <c r="AA21" s="57" t="s">
        <v>84</v>
      </c>
      <c r="AB21" s="55" t="s">
        <v>85</v>
      </c>
      <c r="AC21" s="33"/>
      <c r="AD21" s="50">
        <f t="shared" si="7"/>
        <v>0.54716981132075471</v>
      </c>
      <c r="AE21" s="51">
        <f t="shared" si="8"/>
        <v>0</v>
      </c>
      <c r="AF21" s="51">
        <f t="shared" si="9"/>
        <v>0</v>
      </c>
      <c r="AG21" s="52">
        <v>9445</v>
      </c>
      <c r="AH21" s="52">
        <v>9446</v>
      </c>
      <c r="AI21" s="52">
        <v>1</v>
      </c>
      <c r="AJ21" s="53" t="s">
        <v>86</v>
      </c>
    </row>
    <row r="22" spans="1:36" ht="15.75" hidden="1" x14ac:dyDescent="0.25">
      <c r="A22" s="33" t="s">
        <v>87</v>
      </c>
      <c r="B22" s="34">
        <v>3014</v>
      </c>
      <c r="C22" s="34"/>
      <c r="D22" s="35">
        <v>212</v>
      </c>
      <c r="E22" s="36" t="str">
        <f t="shared" si="10"/>
        <v/>
      </c>
      <c r="F22" s="37" t="str">
        <f t="shared" si="11"/>
        <v/>
      </c>
      <c r="G22" s="38">
        <f t="shared" si="0"/>
        <v>0</v>
      </c>
      <c r="H22" s="38">
        <f t="shared" si="0"/>
        <v>0</v>
      </c>
      <c r="I22" s="39">
        <v>117</v>
      </c>
      <c r="J22" s="40">
        <f t="shared" si="12"/>
        <v>0.55188679245283023</v>
      </c>
      <c r="K22" s="41">
        <v>-22.9</v>
      </c>
      <c r="L22" s="42">
        <v>1.02</v>
      </c>
      <c r="M22" s="39">
        <f t="shared" si="1"/>
        <v>117</v>
      </c>
      <c r="N22" s="40">
        <f t="shared" si="2"/>
        <v>0.55188679245283023</v>
      </c>
      <c r="O22" s="43"/>
      <c r="P22" s="44"/>
      <c r="Q22" s="45"/>
      <c r="R22" s="46"/>
      <c r="S22" s="47"/>
      <c r="T22" s="34">
        <f t="shared" si="3"/>
        <v>0</v>
      </c>
      <c r="U22" s="34">
        <f t="shared" si="4"/>
        <v>0</v>
      </c>
      <c r="V22" s="34">
        <f t="shared" si="5"/>
        <v>0</v>
      </c>
      <c r="W22" s="34">
        <f t="shared" si="6"/>
        <v>0</v>
      </c>
      <c r="X22" s="48" t="s">
        <v>88</v>
      </c>
      <c r="Y22" s="48" t="s">
        <v>38</v>
      </c>
      <c r="Z22" s="57" t="s">
        <v>39</v>
      </c>
      <c r="AA22" s="57" t="s">
        <v>84</v>
      </c>
      <c r="AB22" s="55" t="s">
        <v>85</v>
      </c>
      <c r="AC22" s="33"/>
      <c r="AD22" s="50">
        <f t="shared" si="7"/>
        <v>0.55188679245283023</v>
      </c>
      <c r="AE22" s="51">
        <f t="shared" si="8"/>
        <v>0</v>
      </c>
      <c r="AF22" s="51">
        <f t="shared" si="9"/>
        <v>0</v>
      </c>
      <c r="AG22" s="52">
        <v>3013</v>
      </c>
      <c r="AH22" s="52">
        <v>3014</v>
      </c>
      <c r="AI22" s="52">
        <v>1</v>
      </c>
      <c r="AJ22" s="53" t="s">
        <v>89</v>
      </c>
    </row>
    <row r="23" spans="1:36" ht="15.75" hidden="1" x14ac:dyDescent="0.25">
      <c r="A23" s="33" t="s">
        <v>90</v>
      </c>
      <c r="B23" s="34">
        <v>3641</v>
      </c>
      <c r="C23" s="34"/>
      <c r="D23" s="35">
        <v>129</v>
      </c>
      <c r="E23" s="36" t="str">
        <f t="shared" si="10"/>
        <v/>
      </c>
      <c r="F23" s="37" t="str">
        <f t="shared" si="11"/>
        <v/>
      </c>
      <c r="G23" s="38">
        <f t="shared" si="0"/>
        <v>0</v>
      </c>
      <c r="H23" s="38">
        <f t="shared" si="0"/>
        <v>0</v>
      </c>
      <c r="I23" s="39">
        <v>90</v>
      </c>
      <c r="J23" s="40">
        <f t="shared" si="12"/>
        <v>0.69767441860465118</v>
      </c>
      <c r="K23" s="41">
        <v>-5.09</v>
      </c>
      <c r="L23" s="42">
        <v>0.98499999999999999</v>
      </c>
      <c r="M23" s="39">
        <f t="shared" si="1"/>
        <v>90</v>
      </c>
      <c r="N23" s="40">
        <f t="shared" si="2"/>
        <v>0.69767441860465118</v>
      </c>
      <c r="O23" s="43"/>
      <c r="P23" s="44"/>
      <c r="Q23" s="45"/>
      <c r="R23" s="46"/>
      <c r="S23" s="47"/>
      <c r="T23" s="34">
        <f t="shared" si="3"/>
        <v>0</v>
      </c>
      <c r="U23" s="34">
        <f t="shared" si="4"/>
        <v>0</v>
      </c>
      <c r="V23" s="34">
        <f t="shared" si="5"/>
        <v>0</v>
      </c>
      <c r="W23" s="34">
        <f t="shared" si="6"/>
        <v>0</v>
      </c>
      <c r="X23" s="48" t="s">
        <v>88</v>
      </c>
      <c r="Y23" s="48" t="s">
        <v>38</v>
      </c>
      <c r="Z23" s="57" t="s">
        <v>39</v>
      </c>
      <c r="AA23" s="57" t="s">
        <v>91</v>
      </c>
      <c r="AB23" s="55" t="s">
        <v>85</v>
      </c>
      <c r="AC23" s="55"/>
      <c r="AD23" s="50">
        <f t="shared" si="7"/>
        <v>0.69767441860465118</v>
      </c>
      <c r="AE23" s="51">
        <f t="shared" si="8"/>
        <v>0</v>
      </c>
      <c r="AF23" s="51">
        <f t="shared" si="9"/>
        <v>0</v>
      </c>
      <c r="AG23" s="52">
        <v>2526</v>
      </c>
      <c r="AH23" s="52">
        <v>3641</v>
      </c>
      <c r="AI23" s="52">
        <v>1</v>
      </c>
      <c r="AJ23" s="53" t="s">
        <v>92</v>
      </c>
    </row>
    <row r="24" spans="1:36" ht="15.75" hidden="1" x14ac:dyDescent="0.25">
      <c r="A24" s="33" t="s">
        <v>93</v>
      </c>
      <c r="B24" s="34">
        <v>3642</v>
      </c>
      <c r="C24" s="34"/>
      <c r="D24" s="35">
        <v>100</v>
      </c>
      <c r="E24" s="36" t="str">
        <f t="shared" si="10"/>
        <v/>
      </c>
      <c r="F24" s="37" t="str">
        <f t="shared" si="11"/>
        <v/>
      </c>
      <c r="G24" s="38">
        <f t="shared" si="0"/>
        <v>0</v>
      </c>
      <c r="H24" s="38">
        <f t="shared" si="0"/>
        <v>0</v>
      </c>
      <c r="I24" s="39">
        <v>55</v>
      </c>
      <c r="J24" s="40">
        <f t="shared" si="12"/>
        <v>0.55000000000000004</v>
      </c>
      <c r="K24" s="41">
        <v>2.2770000000000001</v>
      </c>
      <c r="L24" s="42">
        <v>0.98299999999999998</v>
      </c>
      <c r="M24" s="39">
        <f t="shared" si="1"/>
        <v>55</v>
      </c>
      <c r="N24" s="40">
        <f t="shared" si="2"/>
        <v>0.55000000000000004</v>
      </c>
      <c r="O24" s="43"/>
      <c r="P24" s="44"/>
      <c r="Q24" s="45"/>
      <c r="R24" s="46"/>
      <c r="S24" s="47"/>
      <c r="T24" s="34">
        <f t="shared" si="3"/>
        <v>0</v>
      </c>
      <c r="U24" s="34">
        <f t="shared" si="4"/>
        <v>0</v>
      </c>
      <c r="V24" s="34">
        <f t="shared" si="5"/>
        <v>0</v>
      </c>
      <c r="W24" s="34">
        <f t="shared" si="6"/>
        <v>0</v>
      </c>
      <c r="X24" s="48" t="s">
        <v>88</v>
      </c>
      <c r="Y24" s="48" t="s">
        <v>38</v>
      </c>
      <c r="Z24" s="57" t="s">
        <v>39</v>
      </c>
      <c r="AA24" s="57" t="s">
        <v>91</v>
      </c>
      <c r="AB24" s="55" t="s">
        <v>85</v>
      </c>
      <c r="AC24" s="55"/>
      <c r="AD24" s="50">
        <f t="shared" si="7"/>
        <v>0.55000000000000004</v>
      </c>
      <c r="AE24" s="51">
        <f t="shared" si="8"/>
        <v>0</v>
      </c>
      <c r="AF24" s="51">
        <f t="shared" si="9"/>
        <v>0</v>
      </c>
      <c r="AG24" s="52">
        <v>2528</v>
      </c>
      <c r="AH24" s="52">
        <v>3642</v>
      </c>
      <c r="AI24" s="52">
        <v>1</v>
      </c>
      <c r="AJ24" s="53" t="s">
        <v>94</v>
      </c>
    </row>
    <row r="25" spans="1:36" ht="15.75" hidden="1" x14ac:dyDescent="0.25">
      <c r="A25" s="33" t="s">
        <v>95</v>
      </c>
      <c r="B25" s="34">
        <v>35</v>
      </c>
      <c r="C25" s="34"/>
      <c r="D25" s="35">
        <v>381</v>
      </c>
      <c r="E25" s="36" t="str">
        <f t="shared" si="10"/>
        <v/>
      </c>
      <c r="F25" s="37" t="str">
        <f t="shared" si="11"/>
        <v/>
      </c>
      <c r="G25" s="38">
        <f t="shared" si="0"/>
        <v>0</v>
      </c>
      <c r="H25" s="38">
        <f t="shared" si="0"/>
        <v>0</v>
      </c>
      <c r="I25" s="39">
        <v>210</v>
      </c>
      <c r="J25" s="40">
        <f t="shared" si="12"/>
        <v>0.55118110236220474</v>
      </c>
      <c r="K25" s="41">
        <v>-6.42</v>
      </c>
      <c r="L25" s="42">
        <v>0.99</v>
      </c>
      <c r="M25" s="39">
        <f t="shared" si="1"/>
        <v>210</v>
      </c>
      <c r="N25" s="40">
        <f t="shared" si="2"/>
        <v>0.55118110236220474</v>
      </c>
      <c r="O25" s="43"/>
      <c r="P25" s="44"/>
      <c r="Q25" s="45"/>
      <c r="R25" s="46"/>
      <c r="S25" s="47"/>
      <c r="T25" s="34">
        <f t="shared" si="3"/>
        <v>0</v>
      </c>
      <c r="U25" s="34">
        <f t="shared" si="4"/>
        <v>0</v>
      </c>
      <c r="V25" s="34">
        <f t="shared" si="5"/>
        <v>0</v>
      </c>
      <c r="W25" s="34">
        <f t="shared" si="6"/>
        <v>0</v>
      </c>
      <c r="X25" s="48" t="s">
        <v>88</v>
      </c>
      <c r="Y25" s="48" t="s">
        <v>38</v>
      </c>
      <c r="Z25" s="57" t="s">
        <v>39</v>
      </c>
      <c r="AA25" s="57" t="s">
        <v>91</v>
      </c>
      <c r="AB25" s="55" t="s">
        <v>85</v>
      </c>
      <c r="AC25" s="55"/>
      <c r="AD25" s="50">
        <f t="shared" si="7"/>
        <v>0.55118110236220474</v>
      </c>
      <c r="AE25" s="51">
        <f t="shared" si="8"/>
        <v>0</v>
      </c>
      <c r="AF25" s="51">
        <f t="shared" si="9"/>
        <v>0</v>
      </c>
      <c r="AG25" s="52">
        <v>220</v>
      </c>
      <c r="AH25" s="52">
        <v>35</v>
      </c>
      <c r="AI25" s="52">
        <v>1</v>
      </c>
      <c r="AJ25" s="53" t="s">
        <v>96</v>
      </c>
    </row>
    <row r="26" spans="1:36" ht="15.75" hidden="1" x14ac:dyDescent="0.25">
      <c r="A26" s="33" t="s">
        <v>97</v>
      </c>
      <c r="B26" s="34">
        <v>302</v>
      </c>
      <c r="C26" s="34"/>
      <c r="D26" s="35">
        <v>510</v>
      </c>
      <c r="E26" s="36" t="str">
        <f t="shared" si="10"/>
        <v/>
      </c>
      <c r="F26" s="37" t="str">
        <f t="shared" si="11"/>
        <v/>
      </c>
      <c r="G26" s="38">
        <f t="shared" si="0"/>
        <v>0</v>
      </c>
      <c r="H26" s="38">
        <f t="shared" si="0"/>
        <v>0</v>
      </c>
      <c r="I26" s="39">
        <v>281</v>
      </c>
      <c r="J26" s="40">
        <f t="shared" si="12"/>
        <v>0.55098039215686279</v>
      </c>
      <c r="K26" s="41">
        <v>24.6</v>
      </c>
      <c r="L26" s="42">
        <v>0.995</v>
      </c>
      <c r="M26" s="39">
        <f t="shared" si="1"/>
        <v>281</v>
      </c>
      <c r="N26" s="40">
        <f t="shared" si="2"/>
        <v>0.55098039215686279</v>
      </c>
      <c r="O26" s="43"/>
      <c r="P26" s="44"/>
      <c r="Q26" s="45"/>
      <c r="R26" s="46"/>
      <c r="S26" s="47"/>
      <c r="T26" s="34">
        <f t="shared" si="3"/>
        <v>0</v>
      </c>
      <c r="U26" s="34">
        <f t="shared" si="4"/>
        <v>0</v>
      </c>
      <c r="V26" s="34">
        <f t="shared" si="5"/>
        <v>0</v>
      </c>
      <c r="W26" s="34">
        <f t="shared" si="6"/>
        <v>0</v>
      </c>
      <c r="X26" s="48" t="s">
        <v>37</v>
      </c>
      <c r="Y26" s="48" t="s">
        <v>38</v>
      </c>
      <c r="Z26" s="57" t="s">
        <v>39</v>
      </c>
      <c r="AA26" s="57" t="s">
        <v>98</v>
      </c>
      <c r="AB26" s="55" t="s">
        <v>85</v>
      </c>
      <c r="AC26" s="55" t="s">
        <v>99</v>
      </c>
      <c r="AD26" s="50">
        <f t="shared" si="7"/>
        <v>0.55098039215686279</v>
      </c>
      <c r="AE26" s="51">
        <f t="shared" si="8"/>
        <v>0</v>
      </c>
      <c r="AF26" s="51">
        <f t="shared" si="9"/>
        <v>0</v>
      </c>
      <c r="AG26" s="52">
        <v>360</v>
      </c>
      <c r="AH26" s="52">
        <v>302</v>
      </c>
      <c r="AI26" s="52">
        <v>1</v>
      </c>
      <c r="AJ26" s="53" t="s">
        <v>100</v>
      </c>
    </row>
    <row r="27" spans="1:36" ht="15.75" hidden="1" x14ac:dyDescent="0.25">
      <c r="A27" s="33" t="s">
        <v>101</v>
      </c>
      <c r="B27" s="34">
        <v>312</v>
      </c>
      <c r="C27" s="34"/>
      <c r="D27" s="35">
        <v>390</v>
      </c>
      <c r="E27" s="36" t="str">
        <f t="shared" si="10"/>
        <v/>
      </c>
      <c r="F27" s="37" t="str">
        <f t="shared" si="11"/>
        <v/>
      </c>
      <c r="G27" s="38">
        <f t="shared" si="0"/>
        <v>0</v>
      </c>
      <c r="H27" s="38">
        <f t="shared" si="0"/>
        <v>0</v>
      </c>
      <c r="I27" s="39">
        <v>215</v>
      </c>
      <c r="J27" s="40">
        <f t="shared" si="12"/>
        <v>0.55128205128205132</v>
      </c>
      <c r="K27" s="41">
        <v>22.82</v>
      </c>
      <c r="L27" s="42">
        <v>0.98899999999999999</v>
      </c>
      <c r="M27" s="39">
        <f t="shared" si="1"/>
        <v>215</v>
      </c>
      <c r="N27" s="40">
        <f t="shared" si="2"/>
        <v>0.55128205128205132</v>
      </c>
      <c r="O27" s="43"/>
      <c r="P27" s="44"/>
      <c r="Q27" s="45"/>
      <c r="R27" s="46"/>
      <c r="S27" s="47"/>
      <c r="T27" s="34">
        <f t="shared" si="3"/>
        <v>0</v>
      </c>
      <c r="U27" s="34">
        <f t="shared" si="4"/>
        <v>0</v>
      </c>
      <c r="V27" s="34">
        <f t="shared" si="5"/>
        <v>0</v>
      </c>
      <c r="W27" s="34">
        <f t="shared" si="6"/>
        <v>0</v>
      </c>
      <c r="X27" s="48" t="s">
        <v>37</v>
      </c>
      <c r="Y27" s="48" t="s">
        <v>38</v>
      </c>
      <c r="Z27" s="57" t="s">
        <v>39</v>
      </c>
      <c r="AA27" s="57" t="s">
        <v>98</v>
      </c>
      <c r="AB27" s="55" t="s">
        <v>85</v>
      </c>
      <c r="AC27" s="33" t="s">
        <v>62</v>
      </c>
      <c r="AD27" s="50">
        <f t="shared" si="7"/>
        <v>0.55128205128205132</v>
      </c>
      <c r="AE27" s="51">
        <f t="shared" si="8"/>
        <v>0</v>
      </c>
      <c r="AF27" s="51">
        <f t="shared" si="9"/>
        <v>0</v>
      </c>
      <c r="AG27" s="52">
        <v>340</v>
      </c>
      <c r="AH27" s="52">
        <v>312</v>
      </c>
      <c r="AI27" s="52">
        <v>1</v>
      </c>
      <c r="AJ27" s="53" t="s">
        <v>102</v>
      </c>
    </row>
    <row r="28" spans="1:36" ht="15.75" hidden="1" x14ac:dyDescent="0.25">
      <c r="A28" s="33" t="s">
        <v>103</v>
      </c>
      <c r="B28" s="34">
        <v>4052</v>
      </c>
      <c r="C28" s="34"/>
      <c r="D28" s="35">
        <v>243</v>
      </c>
      <c r="E28" s="36" t="str">
        <f t="shared" si="10"/>
        <v/>
      </c>
      <c r="F28" s="37" t="str">
        <f t="shared" si="11"/>
        <v/>
      </c>
      <c r="G28" s="38">
        <f t="shared" si="0"/>
        <v>0</v>
      </c>
      <c r="H28" s="38">
        <f t="shared" si="0"/>
        <v>0</v>
      </c>
      <c r="I28" s="39">
        <v>134</v>
      </c>
      <c r="J28" s="40">
        <f t="shared" si="12"/>
        <v>0.55144032921810704</v>
      </c>
      <c r="K28" s="41">
        <v>-7.84</v>
      </c>
      <c r="L28" s="42">
        <v>0.99199999999999999</v>
      </c>
      <c r="M28" s="39">
        <f t="shared" si="1"/>
        <v>134</v>
      </c>
      <c r="N28" s="40">
        <f t="shared" si="2"/>
        <v>0.55144032921810704</v>
      </c>
      <c r="O28" s="43"/>
      <c r="P28" s="44"/>
      <c r="Q28" s="45"/>
      <c r="R28" s="46"/>
      <c r="S28" s="47"/>
      <c r="T28" s="34">
        <f t="shared" si="3"/>
        <v>0</v>
      </c>
      <c r="U28" s="34">
        <f t="shared" si="4"/>
        <v>0</v>
      </c>
      <c r="V28" s="34">
        <f t="shared" si="5"/>
        <v>0</v>
      </c>
      <c r="W28" s="34">
        <f t="shared" si="6"/>
        <v>0</v>
      </c>
      <c r="X28" s="48" t="s">
        <v>37</v>
      </c>
      <c r="Y28" s="48" t="s">
        <v>38</v>
      </c>
      <c r="Z28" s="57" t="s">
        <v>47</v>
      </c>
      <c r="AA28" s="57" t="s">
        <v>98</v>
      </c>
      <c r="AB28" s="55" t="s">
        <v>85</v>
      </c>
      <c r="AC28" s="33" t="s">
        <v>62</v>
      </c>
      <c r="AD28" s="50">
        <f t="shared" si="7"/>
        <v>0.55144032921810704</v>
      </c>
      <c r="AE28" s="51">
        <f t="shared" si="8"/>
        <v>0</v>
      </c>
      <c r="AF28" s="51">
        <f t="shared" si="9"/>
        <v>0</v>
      </c>
      <c r="AG28" s="52">
        <v>4053</v>
      </c>
      <c r="AH28" s="52">
        <v>4052</v>
      </c>
      <c r="AI28" s="52">
        <v>1</v>
      </c>
      <c r="AJ28" s="53" t="s">
        <v>104</v>
      </c>
    </row>
    <row r="29" spans="1:36" ht="15.75" hidden="1" x14ac:dyDescent="0.25">
      <c r="A29" s="33" t="s">
        <v>105</v>
      </c>
      <c r="B29" s="34">
        <v>4054</v>
      </c>
      <c r="C29" s="34"/>
      <c r="D29" s="35">
        <v>210</v>
      </c>
      <c r="E29" s="36" t="str">
        <f t="shared" si="10"/>
        <v/>
      </c>
      <c r="F29" s="37" t="str">
        <f t="shared" si="11"/>
        <v/>
      </c>
      <c r="G29" s="38">
        <f t="shared" si="0"/>
        <v>0</v>
      </c>
      <c r="H29" s="38">
        <f t="shared" si="0"/>
        <v>0</v>
      </c>
      <c r="I29" s="39">
        <v>116</v>
      </c>
      <c r="J29" s="40">
        <f t="shared" si="12"/>
        <v>0.55238095238095242</v>
      </c>
      <c r="K29" s="41">
        <v>12.19</v>
      </c>
      <c r="L29" s="42">
        <v>1</v>
      </c>
      <c r="M29" s="39">
        <f t="shared" si="1"/>
        <v>116</v>
      </c>
      <c r="N29" s="40">
        <f t="shared" si="2"/>
        <v>0.55238095238095242</v>
      </c>
      <c r="O29" s="43"/>
      <c r="P29" s="44"/>
      <c r="Q29" s="45"/>
      <c r="R29" s="46"/>
      <c r="S29" s="47"/>
      <c r="T29" s="34">
        <f t="shared" si="3"/>
        <v>0</v>
      </c>
      <c r="U29" s="34">
        <f t="shared" si="4"/>
        <v>0</v>
      </c>
      <c r="V29" s="34">
        <f t="shared" si="5"/>
        <v>0</v>
      </c>
      <c r="W29" s="34">
        <f t="shared" si="6"/>
        <v>0</v>
      </c>
      <c r="X29" s="48" t="s">
        <v>37</v>
      </c>
      <c r="Y29" s="48" t="s">
        <v>38</v>
      </c>
      <c r="Z29" s="57" t="s">
        <v>47</v>
      </c>
      <c r="AA29" s="57" t="s">
        <v>98</v>
      </c>
      <c r="AB29" s="55" t="s">
        <v>85</v>
      </c>
      <c r="AC29" s="33" t="s">
        <v>62</v>
      </c>
      <c r="AD29" s="50">
        <f t="shared" si="7"/>
        <v>0.55238095238095242</v>
      </c>
      <c r="AE29" s="51">
        <f t="shared" si="8"/>
        <v>0</v>
      </c>
      <c r="AF29" s="51">
        <f t="shared" si="9"/>
        <v>0</v>
      </c>
      <c r="AG29" s="52">
        <v>4055</v>
      </c>
      <c r="AH29" s="52">
        <v>4054</v>
      </c>
      <c r="AI29" s="52">
        <v>1</v>
      </c>
      <c r="AJ29" s="53" t="s">
        <v>106</v>
      </c>
    </row>
    <row r="30" spans="1:36" ht="15.75" hidden="1" x14ac:dyDescent="0.25">
      <c r="A30" s="33" t="s">
        <v>107</v>
      </c>
      <c r="B30" s="34">
        <v>300</v>
      </c>
      <c r="C30" s="34"/>
      <c r="D30" s="35">
        <v>1192</v>
      </c>
      <c r="E30" s="36" t="str">
        <f t="shared" si="10"/>
        <v/>
      </c>
      <c r="F30" s="37" t="str">
        <f t="shared" si="11"/>
        <v/>
      </c>
      <c r="G30" s="38">
        <f t="shared" si="0"/>
        <v>0</v>
      </c>
      <c r="H30" s="38">
        <f t="shared" si="0"/>
        <v>0</v>
      </c>
      <c r="I30" s="39">
        <v>656</v>
      </c>
      <c r="J30" s="40">
        <f t="shared" si="12"/>
        <v>0.55033557046979864</v>
      </c>
      <c r="K30" s="41">
        <v>12.57</v>
      </c>
      <c r="L30" s="42">
        <v>1.01</v>
      </c>
      <c r="M30" s="39">
        <f t="shared" si="1"/>
        <v>656</v>
      </c>
      <c r="N30" s="40">
        <f t="shared" si="2"/>
        <v>0.55033557046979864</v>
      </c>
      <c r="O30" s="43"/>
      <c r="P30" s="44"/>
      <c r="Q30" s="45"/>
      <c r="R30" s="46"/>
      <c r="S30" s="47"/>
      <c r="T30" s="34">
        <f t="shared" si="3"/>
        <v>0</v>
      </c>
      <c r="U30" s="34">
        <f t="shared" si="4"/>
        <v>0</v>
      </c>
      <c r="V30" s="34">
        <f t="shared" si="5"/>
        <v>0</v>
      </c>
      <c r="W30" s="34">
        <f t="shared" si="6"/>
        <v>0</v>
      </c>
      <c r="X30" s="48" t="s">
        <v>83</v>
      </c>
      <c r="Y30" s="48" t="s">
        <v>38</v>
      </c>
      <c r="Z30" s="57" t="s">
        <v>39</v>
      </c>
      <c r="AA30" s="57" t="s">
        <v>108</v>
      </c>
      <c r="AB30" s="55" t="s">
        <v>85</v>
      </c>
      <c r="AC30" s="55" t="s">
        <v>99</v>
      </c>
      <c r="AD30" s="50">
        <f t="shared" si="7"/>
        <v>0.55033557046979864</v>
      </c>
      <c r="AE30" s="51">
        <f t="shared" si="8"/>
        <v>0</v>
      </c>
      <c r="AF30" s="51">
        <f t="shared" si="9"/>
        <v>0</v>
      </c>
      <c r="AG30" s="52">
        <v>320</v>
      </c>
      <c r="AH30" s="52">
        <v>300</v>
      </c>
      <c r="AI30" s="52">
        <v>1</v>
      </c>
      <c r="AJ30" s="53" t="s">
        <v>109</v>
      </c>
    </row>
    <row r="31" spans="1:36" ht="15.75" hidden="1" x14ac:dyDescent="0.25">
      <c r="A31" s="33" t="s">
        <v>110</v>
      </c>
      <c r="B31" s="34">
        <v>18</v>
      </c>
      <c r="C31" s="34"/>
      <c r="D31" s="35">
        <v>2280</v>
      </c>
      <c r="E31" s="36" t="str">
        <f t="shared" si="10"/>
        <v/>
      </c>
      <c r="F31" s="37" t="str">
        <f t="shared" si="11"/>
        <v/>
      </c>
      <c r="G31" s="38">
        <f t="shared" si="0"/>
        <v>0</v>
      </c>
      <c r="H31" s="38">
        <f t="shared" si="0"/>
        <v>0</v>
      </c>
      <c r="I31" s="39">
        <v>1254</v>
      </c>
      <c r="J31" s="40">
        <f t="shared" si="12"/>
        <v>0.55000000000000004</v>
      </c>
      <c r="K31" s="41">
        <v>68.39</v>
      </c>
      <c r="L31" s="42">
        <v>1.01</v>
      </c>
      <c r="M31" s="39">
        <f t="shared" si="1"/>
        <v>1254</v>
      </c>
      <c r="N31" s="40">
        <f t="shared" si="2"/>
        <v>0.55000000000000004</v>
      </c>
      <c r="O31" s="43"/>
      <c r="P31" s="44"/>
      <c r="Q31" s="45"/>
      <c r="R31" s="46"/>
      <c r="S31" s="47"/>
      <c r="T31" s="34">
        <f t="shared" si="3"/>
        <v>0</v>
      </c>
      <c r="U31" s="34">
        <f t="shared" si="4"/>
        <v>0</v>
      </c>
      <c r="V31" s="34">
        <f t="shared" si="5"/>
        <v>0</v>
      </c>
      <c r="W31" s="34">
        <f t="shared" si="6"/>
        <v>0</v>
      </c>
      <c r="X31" s="48" t="s">
        <v>83</v>
      </c>
      <c r="Y31" s="48" t="s">
        <v>38</v>
      </c>
      <c r="Z31" s="57" t="s">
        <v>39</v>
      </c>
      <c r="AA31" s="57" t="s">
        <v>108</v>
      </c>
      <c r="AB31" s="55" t="s">
        <v>85</v>
      </c>
      <c r="AC31" s="55" t="s">
        <v>99</v>
      </c>
      <c r="AD31" s="50">
        <f t="shared" si="7"/>
        <v>0.55000000000000004</v>
      </c>
      <c r="AE31" s="51">
        <f t="shared" si="8"/>
        <v>0</v>
      </c>
      <c r="AF31" s="51">
        <f t="shared" si="9"/>
        <v>0</v>
      </c>
      <c r="AG31" s="52">
        <v>210</v>
      </c>
      <c r="AH31" s="52">
        <v>18</v>
      </c>
      <c r="AI31" s="52">
        <v>1</v>
      </c>
      <c r="AJ31" s="53" t="s">
        <v>111</v>
      </c>
    </row>
    <row r="32" spans="1:36" ht="15.75" hidden="1" x14ac:dyDescent="0.25">
      <c r="A32" s="33" t="s">
        <v>112</v>
      </c>
      <c r="B32" s="34">
        <v>754</v>
      </c>
      <c r="C32" s="34"/>
      <c r="D32" s="35">
        <v>204</v>
      </c>
      <c r="E32" s="36" t="str">
        <f t="shared" si="10"/>
        <v/>
      </c>
      <c r="F32" s="37" t="str">
        <f t="shared" si="11"/>
        <v/>
      </c>
      <c r="G32" s="38">
        <f t="shared" si="0"/>
        <v>0</v>
      </c>
      <c r="H32" s="38">
        <f t="shared" si="0"/>
        <v>0</v>
      </c>
      <c r="I32" s="39">
        <v>98</v>
      </c>
      <c r="J32" s="40">
        <f t="shared" si="12"/>
        <v>0.48039215686274511</v>
      </c>
      <c r="K32" s="41">
        <v>-12.6</v>
      </c>
      <c r="L32" s="42">
        <v>0.99199999999999999</v>
      </c>
      <c r="M32" s="39">
        <f t="shared" si="1"/>
        <v>98</v>
      </c>
      <c r="N32" s="40">
        <f t="shared" si="2"/>
        <v>0.48039215686274511</v>
      </c>
      <c r="O32" s="43"/>
      <c r="P32" s="44"/>
      <c r="Q32" s="45"/>
      <c r="R32" s="46"/>
      <c r="S32" s="47"/>
      <c r="T32" s="34">
        <f t="shared" si="3"/>
        <v>0</v>
      </c>
      <c r="U32" s="34">
        <f t="shared" si="4"/>
        <v>0</v>
      </c>
      <c r="V32" s="34">
        <f t="shared" si="5"/>
        <v>0</v>
      </c>
      <c r="W32" s="34">
        <f t="shared" si="6"/>
        <v>0</v>
      </c>
      <c r="X32" s="48" t="s">
        <v>88</v>
      </c>
      <c r="Y32" s="48" t="s">
        <v>38</v>
      </c>
      <c r="Z32" s="57" t="s">
        <v>47</v>
      </c>
      <c r="AA32" s="57" t="s">
        <v>108</v>
      </c>
      <c r="AB32" s="55" t="s">
        <v>85</v>
      </c>
      <c r="AC32" s="55"/>
      <c r="AD32" s="50">
        <f t="shared" si="7"/>
        <v>0.48039215686274511</v>
      </c>
      <c r="AE32" s="51">
        <f t="shared" si="8"/>
        <v>0</v>
      </c>
      <c r="AF32" s="51">
        <f t="shared" si="9"/>
        <v>0</v>
      </c>
      <c r="AG32" s="52">
        <v>749</v>
      </c>
      <c r="AH32" s="52">
        <v>754</v>
      </c>
      <c r="AI32" s="52">
        <v>1</v>
      </c>
      <c r="AJ32" s="53" t="s">
        <v>113</v>
      </c>
    </row>
    <row r="33" spans="1:36" ht="15.75" hidden="1" x14ac:dyDescent="0.25">
      <c r="A33" s="33" t="s">
        <v>112</v>
      </c>
      <c r="B33" s="34">
        <v>753</v>
      </c>
      <c r="C33" s="34"/>
      <c r="D33" s="35">
        <v>252</v>
      </c>
      <c r="E33" s="36" t="str">
        <f t="shared" si="10"/>
        <v/>
      </c>
      <c r="F33" s="37" t="str">
        <f t="shared" si="11"/>
        <v/>
      </c>
      <c r="G33" s="38">
        <f t="shared" si="0"/>
        <v>0</v>
      </c>
      <c r="H33" s="38">
        <f t="shared" si="0"/>
        <v>0</v>
      </c>
      <c r="I33" s="39">
        <v>140</v>
      </c>
      <c r="J33" s="40">
        <f t="shared" si="12"/>
        <v>0.55555555555555558</v>
      </c>
      <c r="K33" s="41">
        <v>25.88</v>
      </c>
      <c r="L33" s="42">
        <v>0.999</v>
      </c>
      <c r="M33" s="39">
        <f t="shared" si="1"/>
        <v>140</v>
      </c>
      <c r="N33" s="40">
        <f t="shared" si="2"/>
        <v>0.55555555555555558</v>
      </c>
      <c r="O33" s="43"/>
      <c r="P33" s="44"/>
      <c r="Q33" s="45"/>
      <c r="R33" s="46"/>
      <c r="S33" s="47"/>
      <c r="T33" s="34">
        <f t="shared" si="3"/>
        <v>0</v>
      </c>
      <c r="U33" s="34">
        <f t="shared" si="4"/>
        <v>0</v>
      </c>
      <c r="V33" s="34">
        <f t="shared" si="5"/>
        <v>0</v>
      </c>
      <c r="W33" s="34">
        <f t="shared" si="6"/>
        <v>0</v>
      </c>
      <c r="X33" s="48" t="s">
        <v>88</v>
      </c>
      <c r="Y33" s="48" t="s">
        <v>38</v>
      </c>
      <c r="Z33" s="57" t="s">
        <v>47</v>
      </c>
      <c r="AA33" s="57" t="s">
        <v>108</v>
      </c>
      <c r="AB33" s="55" t="s">
        <v>85</v>
      </c>
      <c r="AC33" s="55"/>
      <c r="AD33" s="50">
        <f t="shared" si="7"/>
        <v>0.55555555555555558</v>
      </c>
      <c r="AE33" s="51">
        <f t="shared" si="8"/>
        <v>0</v>
      </c>
      <c r="AF33" s="51">
        <f t="shared" si="9"/>
        <v>0</v>
      </c>
      <c r="AG33" s="52">
        <v>749</v>
      </c>
      <c r="AH33" s="52">
        <v>753</v>
      </c>
      <c r="AI33" s="52">
        <v>1</v>
      </c>
      <c r="AJ33" s="53" t="s">
        <v>114</v>
      </c>
    </row>
    <row r="34" spans="1:36" ht="15.75" hidden="1" x14ac:dyDescent="0.25">
      <c r="A34" s="33" t="s">
        <v>112</v>
      </c>
      <c r="B34" s="34">
        <v>752</v>
      </c>
      <c r="C34" s="34"/>
      <c r="D34" s="35">
        <v>54</v>
      </c>
      <c r="E34" s="36" t="str">
        <f t="shared" si="10"/>
        <v/>
      </c>
      <c r="F34" s="37" t="str">
        <f t="shared" si="11"/>
        <v/>
      </c>
      <c r="G34" s="38">
        <f t="shared" si="0"/>
        <v>0</v>
      </c>
      <c r="H34" s="38">
        <f t="shared" si="0"/>
        <v>0</v>
      </c>
      <c r="I34" s="39">
        <v>30</v>
      </c>
      <c r="J34" s="40">
        <f t="shared" si="12"/>
        <v>0.55555555555555558</v>
      </c>
      <c r="K34" s="41">
        <v>1.0920000000000001</v>
      </c>
      <c r="L34" s="42">
        <v>1</v>
      </c>
      <c r="M34" s="39">
        <f t="shared" si="1"/>
        <v>30</v>
      </c>
      <c r="N34" s="40">
        <f t="shared" si="2"/>
        <v>0.55555555555555558</v>
      </c>
      <c r="O34" s="43"/>
      <c r="P34" s="44"/>
      <c r="Q34" s="45"/>
      <c r="R34" s="46"/>
      <c r="S34" s="47"/>
      <c r="T34" s="34">
        <f t="shared" si="3"/>
        <v>0</v>
      </c>
      <c r="U34" s="34">
        <f t="shared" si="4"/>
        <v>0</v>
      </c>
      <c r="V34" s="34">
        <f t="shared" si="5"/>
        <v>0</v>
      </c>
      <c r="W34" s="34">
        <f t="shared" si="6"/>
        <v>0</v>
      </c>
      <c r="X34" s="48" t="s">
        <v>88</v>
      </c>
      <c r="Y34" s="48" t="s">
        <v>38</v>
      </c>
      <c r="Z34" s="57" t="s">
        <v>47</v>
      </c>
      <c r="AA34" s="57" t="s">
        <v>108</v>
      </c>
      <c r="AB34" s="55" t="s">
        <v>85</v>
      </c>
      <c r="AC34" s="55"/>
      <c r="AD34" s="50">
        <f t="shared" si="7"/>
        <v>0.55555555555555558</v>
      </c>
      <c r="AE34" s="51">
        <f t="shared" si="8"/>
        <v>0</v>
      </c>
      <c r="AF34" s="51">
        <f t="shared" si="9"/>
        <v>0</v>
      </c>
      <c r="AG34" s="52">
        <v>749</v>
      </c>
      <c r="AH34" s="52">
        <v>752</v>
      </c>
      <c r="AI34" s="52">
        <v>1</v>
      </c>
      <c r="AJ34" s="53" t="s">
        <v>115</v>
      </c>
    </row>
    <row r="35" spans="1:36" ht="15.75" hidden="1" x14ac:dyDescent="0.25">
      <c r="A35" s="33" t="s">
        <v>116</v>
      </c>
      <c r="B35" s="34">
        <v>751</v>
      </c>
      <c r="C35" s="34"/>
      <c r="D35" s="35">
        <v>108</v>
      </c>
      <c r="E35" s="36" t="str">
        <f t="shared" si="10"/>
        <v/>
      </c>
      <c r="F35" s="37" t="str">
        <f t="shared" si="11"/>
        <v/>
      </c>
      <c r="G35" s="38">
        <f t="shared" si="0"/>
        <v>0</v>
      </c>
      <c r="H35" s="38">
        <f t="shared" si="0"/>
        <v>0</v>
      </c>
      <c r="I35" s="39">
        <v>60</v>
      </c>
      <c r="J35" s="40">
        <f t="shared" si="12"/>
        <v>0.55555555555555558</v>
      </c>
      <c r="K35" s="41">
        <v>1.1399999999999999</v>
      </c>
      <c r="L35" s="42">
        <v>0.997</v>
      </c>
      <c r="M35" s="39">
        <f t="shared" si="1"/>
        <v>60</v>
      </c>
      <c r="N35" s="40">
        <f t="shared" si="2"/>
        <v>0.55555555555555558</v>
      </c>
      <c r="O35" s="43"/>
      <c r="P35" s="44"/>
      <c r="Q35" s="45"/>
      <c r="R35" s="46"/>
      <c r="S35" s="47"/>
      <c r="T35" s="34">
        <f t="shared" si="3"/>
        <v>0</v>
      </c>
      <c r="U35" s="34">
        <f t="shared" si="4"/>
        <v>0</v>
      </c>
      <c r="V35" s="34">
        <f t="shared" si="5"/>
        <v>0</v>
      </c>
      <c r="W35" s="34">
        <f t="shared" si="6"/>
        <v>0</v>
      </c>
      <c r="X35" s="48" t="s">
        <v>88</v>
      </c>
      <c r="Y35" s="48" t="s">
        <v>38</v>
      </c>
      <c r="Z35" s="57" t="s">
        <v>47</v>
      </c>
      <c r="AA35" s="57" t="s">
        <v>108</v>
      </c>
      <c r="AB35" s="55" t="s">
        <v>85</v>
      </c>
      <c r="AC35" s="55"/>
      <c r="AD35" s="50">
        <f t="shared" si="7"/>
        <v>0.55555555555555558</v>
      </c>
      <c r="AE35" s="51">
        <f t="shared" si="8"/>
        <v>0</v>
      </c>
      <c r="AF35" s="51">
        <f t="shared" si="9"/>
        <v>0</v>
      </c>
      <c r="AG35" s="52">
        <v>755</v>
      </c>
      <c r="AH35" s="52">
        <v>751</v>
      </c>
      <c r="AI35" s="52">
        <v>1</v>
      </c>
      <c r="AJ35" s="53" t="s">
        <v>117</v>
      </c>
    </row>
    <row r="36" spans="1:36" ht="15.75" hidden="1" x14ac:dyDescent="0.25">
      <c r="A36" s="33" t="s">
        <v>116</v>
      </c>
      <c r="B36" s="34">
        <v>750</v>
      </c>
      <c r="C36" s="34"/>
      <c r="D36" s="35">
        <v>34</v>
      </c>
      <c r="E36" s="36" t="str">
        <f t="shared" si="10"/>
        <v/>
      </c>
      <c r="F36" s="37" t="str">
        <f t="shared" si="11"/>
        <v/>
      </c>
      <c r="G36" s="38">
        <f t="shared" si="0"/>
        <v>0</v>
      </c>
      <c r="H36" s="38">
        <f t="shared" si="0"/>
        <v>0</v>
      </c>
      <c r="I36" s="39">
        <v>19</v>
      </c>
      <c r="J36" s="40">
        <f t="shared" si="12"/>
        <v>0.55882352941176472</v>
      </c>
      <c r="K36" s="41">
        <v>-2.0499999999999998</v>
      </c>
      <c r="L36" s="42">
        <v>1</v>
      </c>
      <c r="M36" s="39">
        <f t="shared" si="1"/>
        <v>19</v>
      </c>
      <c r="N36" s="40">
        <f t="shared" si="2"/>
        <v>0.55882352941176472</v>
      </c>
      <c r="O36" s="43"/>
      <c r="P36" s="44"/>
      <c r="Q36" s="45"/>
      <c r="R36" s="46"/>
      <c r="S36" s="47"/>
      <c r="T36" s="34">
        <f t="shared" si="3"/>
        <v>0</v>
      </c>
      <c r="U36" s="34">
        <f t="shared" si="4"/>
        <v>0</v>
      </c>
      <c r="V36" s="34">
        <f t="shared" si="5"/>
        <v>0</v>
      </c>
      <c r="W36" s="34">
        <f t="shared" si="6"/>
        <v>0</v>
      </c>
      <c r="X36" s="48" t="s">
        <v>88</v>
      </c>
      <c r="Y36" s="48" t="s">
        <v>38</v>
      </c>
      <c r="Z36" s="57" t="s">
        <v>47</v>
      </c>
      <c r="AA36" s="57" t="s">
        <v>108</v>
      </c>
      <c r="AB36" s="55" t="s">
        <v>85</v>
      </c>
      <c r="AC36" s="55"/>
      <c r="AD36" s="50">
        <f t="shared" si="7"/>
        <v>0.55882352941176472</v>
      </c>
      <c r="AE36" s="51">
        <f t="shared" si="8"/>
        <v>0</v>
      </c>
      <c r="AF36" s="51">
        <f t="shared" si="9"/>
        <v>0</v>
      </c>
      <c r="AG36" s="52">
        <v>755</v>
      </c>
      <c r="AH36" s="52">
        <v>750</v>
      </c>
      <c r="AI36" s="52">
        <v>1</v>
      </c>
      <c r="AJ36" s="53" t="s">
        <v>118</v>
      </c>
    </row>
    <row r="37" spans="1:36" ht="15.75" hidden="1" x14ac:dyDescent="0.25">
      <c r="A37" s="33" t="s">
        <v>119</v>
      </c>
      <c r="B37" s="34">
        <v>303</v>
      </c>
      <c r="C37" s="34"/>
      <c r="D37" s="35">
        <v>1680</v>
      </c>
      <c r="E37" s="36" t="str">
        <f t="shared" si="10"/>
        <v/>
      </c>
      <c r="F37" s="37" t="str">
        <f t="shared" si="11"/>
        <v/>
      </c>
      <c r="G37" s="38">
        <f t="shared" si="0"/>
        <v>0</v>
      </c>
      <c r="H37" s="38">
        <f t="shared" si="0"/>
        <v>0</v>
      </c>
      <c r="I37" s="39">
        <v>924</v>
      </c>
      <c r="J37" s="40">
        <f t="shared" si="12"/>
        <v>0.55000000000000004</v>
      </c>
      <c r="K37" s="41">
        <v>14.43</v>
      </c>
      <c r="L37" s="42">
        <v>1.02</v>
      </c>
      <c r="M37" s="39">
        <f t="shared" si="1"/>
        <v>924</v>
      </c>
      <c r="N37" s="40">
        <f t="shared" si="2"/>
        <v>0.55000000000000004</v>
      </c>
      <c r="O37" s="43"/>
      <c r="P37" s="44"/>
      <c r="Q37" s="45"/>
      <c r="R37" s="46"/>
      <c r="S37" s="47"/>
      <c r="T37" s="34">
        <f t="shared" si="3"/>
        <v>0</v>
      </c>
      <c r="U37" s="34">
        <f t="shared" si="4"/>
        <v>0</v>
      </c>
      <c r="V37" s="34">
        <f t="shared" si="5"/>
        <v>0</v>
      </c>
      <c r="W37" s="34">
        <f t="shared" si="6"/>
        <v>0</v>
      </c>
      <c r="X37" s="48" t="s">
        <v>83</v>
      </c>
      <c r="Y37" s="48" t="s">
        <v>38</v>
      </c>
      <c r="Z37" s="57" t="s">
        <v>39</v>
      </c>
      <c r="AA37" s="57" t="s">
        <v>108</v>
      </c>
      <c r="AB37" s="55" t="s">
        <v>85</v>
      </c>
      <c r="AC37" s="55" t="s">
        <v>99</v>
      </c>
      <c r="AD37" s="50">
        <f t="shared" si="7"/>
        <v>0.55000000000000004</v>
      </c>
      <c r="AE37" s="51">
        <f t="shared" si="8"/>
        <v>0</v>
      </c>
      <c r="AF37" s="51">
        <f t="shared" si="9"/>
        <v>0</v>
      </c>
      <c r="AG37" s="52">
        <v>370</v>
      </c>
      <c r="AH37" s="52">
        <v>303</v>
      </c>
      <c r="AI37" s="52">
        <v>1</v>
      </c>
      <c r="AJ37" s="53" t="s">
        <v>120</v>
      </c>
    </row>
    <row r="38" spans="1:36" ht="15.75" hidden="1" x14ac:dyDescent="0.25">
      <c r="A38" s="33" t="s">
        <v>121</v>
      </c>
      <c r="B38" s="34">
        <v>9448</v>
      </c>
      <c r="C38" s="34"/>
      <c r="D38" s="35">
        <v>65</v>
      </c>
      <c r="E38" s="36" t="str">
        <f t="shared" si="10"/>
        <v/>
      </c>
      <c r="F38" s="37" t="str">
        <f t="shared" si="11"/>
        <v/>
      </c>
      <c r="G38" s="38">
        <f t="shared" si="0"/>
        <v>0</v>
      </c>
      <c r="H38" s="38">
        <f t="shared" si="0"/>
        <v>0</v>
      </c>
      <c r="I38" s="39">
        <v>36</v>
      </c>
      <c r="J38" s="40">
        <f t="shared" si="12"/>
        <v>0.55384615384615388</v>
      </c>
      <c r="K38" s="41">
        <v>1.871</v>
      </c>
      <c r="L38" s="42">
        <v>1</v>
      </c>
      <c r="M38" s="39">
        <f t="shared" si="1"/>
        <v>36</v>
      </c>
      <c r="N38" s="40">
        <f t="shared" si="2"/>
        <v>0.55384615384615388</v>
      </c>
      <c r="O38" s="43"/>
      <c r="P38" s="44"/>
      <c r="Q38" s="45"/>
      <c r="R38" s="46"/>
      <c r="S38" s="47"/>
      <c r="T38" s="34">
        <f t="shared" si="3"/>
        <v>0</v>
      </c>
      <c r="U38" s="34">
        <f t="shared" si="4"/>
        <v>0</v>
      </c>
      <c r="V38" s="34">
        <f t="shared" si="5"/>
        <v>0</v>
      </c>
      <c r="W38" s="34">
        <f t="shared" si="6"/>
        <v>0</v>
      </c>
      <c r="X38" s="48" t="s">
        <v>88</v>
      </c>
      <c r="Y38" s="48" t="s">
        <v>38</v>
      </c>
      <c r="Z38" s="57" t="s">
        <v>39</v>
      </c>
      <c r="AA38" s="57" t="s">
        <v>122</v>
      </c>
      <c r="AB38" s="55" t="s">
        <v>85</v>
      </c>
      <c r="AC38" s="55"/>
      <c r="AD38" s="50">
        <f t="shared" si="7"/>
        <v>0.55384615384615388</v>
      </c>
      <c r="AE38" s="51">
        <f t="shared" si="8"/>
        <v>0</v>
      </c>
      <c r="AF38" s="51">
        <f t="shared" si="9"/>
        <v>0</v>
      </c>
      <c r="AG38" s="52">
        <v>9448</v>
      </c>
      <c r="AH38" s="52">
        <v>9458</v>
      </c>
      <c r="AI38" s="52">
        <v>1</v>
      </c>
      <c r="AJ38" s="53" t="s">
        <v>123</v>
      </c>
    </row>
    <row r="39" spans="1:36" ht="15.75" hidden="1" x14ac:dyDescent="0.25">
      <c r="A39" s="33" t="s">
        <v>124</v>
      </c>
      <c r="B39" s="34">
        <v>9449</v>
      </c>
      <c r="C39" s="34"/>
      <c r="D39" s="35">
        <v>90</v>
      </c>
      <c r="E39" s="36" t="str">
        <f t="shared" si="10"/>
        <v/>
      </c>
      <c r="F39" s="37" t="str">
        <f t="shared" si="11"/>
        <v/>
      </c>
      <c r="G39" s="38">
        <f t="shared" si="0"/>
        <v>0</v>
      </c>
      <c r="H39" s="38">
        <f t="shared" si="0"/>
        <v>0</v>
      </c>
      <c r="I39" s="39">
        <v>50</v>
      </c>
      <c r="J39" s="40">
        <f t="shared" si="12"/>
        <v>0.55555555555555558</v>
      </c>
      <c r="K39" s="41">
        <v>2.0339999999999998</v>
      </c>
      <c r="L39" s="42">
        <v>1</v>
      </c>
      <c r="M39" s="39">
        <f t="shared" si="1"/>
        <v>50</v>
      </c>
      <c r="N39" s="40">
        <f t="shared" si="2"/>
        <v>0.55555555555555558</v>
      </c>
      <c r="O39" s="43"/>
      <c r="P39" s="44"/>
      <c r="Q39" s="45"/>
      <c r="R39" s="46"/>
      <c r="S39" s="47"/>
      <c r="T39" s="34">
        <f t="shared" si="3"/>
        <v>0</v>
      </c>
      <c r="U39" s="34">
        <f t="shared" si="4"/>
        <v>0</v>
      </c>
      <c r="V39" s="34">
        <f t="shared" si="5"/>
        <v>0</v>
      </c>
      <c r="W39" s="34">
        <f t="shared" si="6"/>
        <v>0</v>
      </c>
      <c r="X39" s="48" t="s">
        <v>88</v>
      </c>
      <c r="Y39" s="48" t="s">
        <v>38</v>
      </c>
      <c r="Z39" s="57" t="s">
        <v>39</v>
      </c>
      <c r="AA39" s="57" t="s">
        <v>122</v>
      </c>
      <c r="AB39" s="55" t="s">
        <v>85</v>
      </c>
      <c r="AC39" s="55"/>
      <c r="AD39" s="50">
        <f t="shared" si="7"/>
        <v>0.55555555555555558</v>
      </c>
      <c r="AE39" s="51">
        <f t="shared" si="8"/>
        <v>0</v>
      </c>
      <c r="AF39" s="51">
        <f t="shared" si="9"/>
        <v>0</v>
      </c>
      <c r="AG39" s="52">
        <v>9449</v>
      </c>
      <c r="AH39" s="52">
        <v>9444</v>
      </c>
      <c r="AI39" s="52">
        <v>1</v>
      </c>
      <c r="AJ39" s="53" t="s">
        <v>125</v>
      </c>
    </row>
    <row r="40" spans="1:36" ht="15.75" hidden="1" x14ac:dyDescent="0.25">
      <c r="A40" s="33" t="s">
        <v>126</v>
      </c>
      <c r="B40" s="34">
        <v>9447</v>
      </c>
      <c r="C40" s="34"/>
      <c r="D40" s="35">
        <v>68</v>
      </c>
      <c r="E40" s="36" t="str">
        <f t="shared" si="10"/>
        <v/>
      </c>
      <c r="F40" s="37" t="str">
        <f t="shared" si="11"/>
        <v/>
      </c>
      <c r="G40" s="38">
        <f t="shared" si="0"/>
        <v>0</v>
      </c>
      <c r="H40" s="38">
        <f t="shared" si="0"/>
        <v>0</v>
      </c>
      <c r="I40" s="39">
        <v>37</v>
      </c>
      <c r="J40" s="40">
        <f t="shared" si="12"/>
        <v>0.54411764705882348</v>
      </c>
      <c r="K40" s="41">
        <v>4.2450000000000001</v>
      </c>
      <c r="L40" s="42">
        <v>1</v>
      </c>
      <c r="M40" s="39">
        <f t="shared" si="1"/>
        <v>37</v>
      </c>
      <c r="N40" s="40">
        <f t="shared" si="2"/>
        <v>0.54411764705882348</v>
      </c>
      <c r="O40" s="43"/>
      <c r="P40" s="44"/>
      <c r="Q40" s="45"/>
      <c r="R40" s="46"/>
      <c r="S40" s="47"/>
      <c r="T40" s="34">
        <f t="shared" si="3"/>
        <v>0</v>
      </c>
      <c r="U40" s="34">
        <f t="shared" si="4"/>
        <v>0</v>
      </c>
      <c r="V40" s="34">
        <f t="shared" si="5"/>
        <v>0</v>
      </c>
      <c r="W40" s="34">
        <f t="shared" si="6"/>
        <v>0</v>
      </c>
      <c r="X40" s="48" t="s">
        <v>83</v>
      </c>
      <c r="Y40" s="48" t="s">
        <v>38</v>
      </c>
      <c r="Z40" s="57" t="s">
        <v>39</v>
      </c>
      <c r="AA40" s="57" t="s">
        <v>122</v>
      </c>
      <c r="AB40" s="55" t="s">
        <v>85</v>
      </c>
      <c r="AC40" s="55"/>
      <c r="AD40" s="50">
        <f t="shared" si="7"/>
        <v>0.54411764705882348</v>
      </c>
      <c r="AE40" s="51">
        <f t="shared" si="8"/>
        <v>0</v>
      </c>
      <c r="AF40" s="51">
        <f t="shared" si="9"/>
        <v>0</v>
      </c>
      <c r="AG40" s="52">
        <v>9447</v>
      </c>
      <c r="AH40" s="52">
        <v>9457</v>
      </c>
      <c r="AI40" s="52">
        <v>1</v>
      </c>
      <c r="AJ40" s="53" t="s">
        <v>127</v>
      </c>
    </row>
    <row r="41" spans="1:36" ht="15.75" hidden="1" x14ac:dyDescent="0.25">
      <c r="A41" s="33" t="s">
        <v>128</v>
      </c>
      <c r="B41" s="34">
        <v>3744</v>
      </c>
      <c r="C41" s="34"/>
      <c r="D41" s="35">
        <v>32</v>
      </c>
      <c r="E41" s="36" t="str">
        <f t="shared" si="10"/>
        <v/>
      </c>
      <c r="F41" s="37" t="str">
        <f t="shared" si="11"/>
        <v/>
      </c>
      <c r="G41" s="38">
        <f t="shared" si="0"/>
        <v>0</v>
      </c>
      <c r="H41" s="38">
        <f t="shared" si="0"/>
        <v>0</v>
      </c>
      <c r="I41" s="39">
        <v>18</v>
      </c>
      <c r="J41" s="40">
        <f t="shared" si="12"/>
        <v>0.5625</v>
      </c>
      <c r="K41" s="41">
        <v>-8.85</v>
      </c>
      <c r="L41" s="42">
        <v>0.98099999999999998</v>
      </c>
      <c r="M41" s="39">
        <f t="shared" si="1"/>
        <v>18</v>
      </c>
      <c r="N41" s="40">
        <f t="shared" si="2"/>
        <v>0.5625</v>
      </c>
      <c r="O41" s="43"/>
      <c r="P41" s="44"/>
      <c r="Q41" s="45"/>
      <c r="R41" s="46"/>
      <c r="S41" s="47"/>
      <c r="T41" s="34">
        <f t="shared" si="3"/>
        <v>0</v>
      </c>
      <c r="U41" s="34">
        <f t="shared" si="4"/>
        <v>0</v>
      </c>
      <c r="V41" s="34">
        <f t="shared" si="5"/>
        <v>0</v>
      </c>
      <c r="W41" s="34">
        <f t="shared" si="6"/>
        <v>0</v>
      </c>
      <c r="X41" s="48" t="s">
        <v>88</v>
      </c>
      <c r="Y41" s="48" t="s">
        <v>38</v>
      </c>
      <c r="Z41" s="57" t="s">
        <v>39</v>
      </c>
      <c r="AA41" s="57" t="s">
        <v>129</v>
      </c>
      <c r="AB41" s="55" t="s">
        <v>85</v>
      </c>
      <c r="AC41" s="55"/>
      <c r="AD41" s="50">
        <f t="shared" si="7"/>
        <v>0.5625</v>
      </c>
      <c r="AE41" s="51">
        <f t="shared" si="8"/>
        <v>0</v>
      </c>
      <c r="AF41" s="51">
        <f t="shared" si="9"/>
        <v>0</v>
      </c>
      <c r="AG41" s="52">
        <v>3708</v>
      </c>
      <c r="AH41" s="52">
        <v>3744</v>
      </c>
      <c r="AI41" s="52">
        <v>1</v>
      </c>
      <c r="AJ41" s="53" t="s">
        <v>130</v>
      </c>
    </row>
    <row r="42" spans="1:36" ht="15.75" hidden="1" x14ac:dyDescent="0.25">
      <c r="A42" s="33" t="s">
        <v>131</v>
      </c>
      <c r="B42" s="34">
        <v>47629</v>
      </c>
      <c r="C42" s="34"/>
      <c r="D42" s="35" t="s">
        <v>132</v>
      </c>
      <c r="E42" s="36" t="str">
        <f t="shared" si="10"/>
        <v/>
      </c>
      <c r="F42" s="37" t="str">
        <f t="shared" si="11"/>
        <v/>
      </c>
      <c r="G42" s="38">
        <f t="shared" si="0"/>
        <v>0</v>
      </c>
      <c r="H42" s="38">
        <f t="shared" si="0"/>
        <v>0</v>
      </c>
      <c r="I42" s="39"/>
      <c r="J42" s="40" t="str">
        <f t="shared" si="12"/>
        <v>-</v>
      </c>
      <c r="K42" s="41"/>
      <c r="L42" s="42"/>
      <c r="M42" s="39">
        <f t="shared" si="1"/>
        <v>0</v>
      </c>
      <c r="N42" s="40">
        <f t="shared" si="2"/>
        <v>0</v>
      </c>
      <c r="O42" s="43"/>
      <c r="P42" s="44"/>
      <c r="Q42" s="45"/>
      <c r="R42" s="46"/>
      <c r="S42" s="47"/>
      <c r="T42" s="34">
        <f t="shared" si="3"/>
        <v>0</v>
      </c>
      <c r="U42" s="34">
        <f t="shared" si="4"/>
        <v>0</v>
      </c>
      <c r="V42" s="34">
        <f t="shared" si="5"/>
        <v>0</v>
      </c>
      <c r="W42" s="34">
        <f t="shared" si="6"/>
        <v>0</v>
      </c>
      <c r="X42" s="48" t="s">
        <v>88</v>
      </c>
      <c r="Y42" s="48" t="s">
        <v>38</v>
      </c>
      <c r="Z42" s="57" t="s">
        <v>47</v>
      </c>
      <c r="AA42" s="57" t="s">
        <v>133</v>
      </c>
      <c r="AB42" s="55" t="s">
        <v>85</v>
      </c>
      <c r="AC42" s="55"/>
      <c r="AD42" s="50">
        <f t="shared" si="7"/>
        <v>0</v>
      </c>
      <c r="AE42" s="51">
        <f t="shared" si="8"/>
        <v>0</v>
      </c>
      <c r="AF42" s="51">
        <f t="shared" si="9"/>
        <v>0</v>
      </c>
      <c r="AG42" s="52" t="s">
        <v>134</v>
      </c>
      <c r="AH42" s="52" t="s">
        <v>134</v>
      </c>
      <c r="AI42" s="52" t="s">
        <v>134</v>
      </c>
      <c r="AJ42" s="53" t="s">
        <v>134</v>
      </c>
    </row>
    <row r="43" spans="1:36" ht="15.75" hidden="1" x14ac:dyDescent="0.25">
      <c r="A43" s="33" t="s">
        <v>135</v>
      </c>
      <c r="B43" s="34">
        <v>9442</v>
      </c>
      <c r="C43" s="34"/>
      <c r="D43" s="35">
        <v>121</v>
      </c>
      <c r="E43" s="36" t="str">
        <f t="shared" si="10"/>
        <v/>
      </c>
      <c r="F43" s="37" t="str">
        <f t="shared" si="11"/>
        <v/>
      </c>
      <c r="G43" s="38">
        <f t="shared" si="0"/>
        <v>0</v>
      </c>
      <c r="H43" s="38">
        <f t="shared" si="0"/>
        <v>0</v>
      </c>
      <c r="I43" s="39">
        <v>67</v>
      </c>
      <c r="J43" s="40">
        <f t="shared" si="12"/>
        <v>0.55371900826446285</v>
      </c>
      <c r="K43" s="41">
        <v>3.1120000000000001</v>
      </c>
      <c r="L43" s="42">
        <v>1</v>
      </c>
      <c r="M43" s="39">
        <f t="shared" si="1"/>
        <v>67</v>
      </c>
      <c r="N43" s="40">
        <f t="shared" si="2"/>
        <v>0.55371900826446285</v>
      </c>
      <c r="O43" s="43"/>
      <c r="P43" s="44"/>
      <c r="Q43" s="45"/>
      <c r="R43" s="46"/>
      <c r="S43" s="47"/>
      <c r="T43" s="34">
        <f t="shared" si="3"/>
        <v>0</v>
      </c>
      <c r="U43" s="34">
        <f t="shared" si="4"/>
        <v>0</v>
      </c>
      <c r="V43" s="34">
        <f t="shared" si="5"/>
        <v>0</v>
      </c>
      <c r="W43" s="34">
        <f t="shared" si="6"/>
        <v>0</v>
      </c>
      <c r="X43" s="48" t="s">
        <v>88</v>
      </c>
      <c r="Y43" s="48" t="s">
        <v>38</v>
      </c>
      <c r="Z43" s="57" t="s">
        <v>47</v>
      </c>
      <c r="AA43" s="57" t="s">
        <v>133</v>
      </c>
      <c r="AB43" s="55" t="s">
        <v>85</v>
      </c>
      <c r="AC43" s="55"/>
      <c r="AD43" s="50">
        <f t="shared" si="7"/>
        <v>0.55371900826446285</v>
      </c>
      <c r="AE43" s="51">
        <f t="shared" si="8"/>
        <v>0</v>
      </c>
      <c r="AF43" s="51">
        <f t="shared" si="9"/>
        <v>0</v>
      </c>
      <c r="AG43" s="52">
        <v>9442</v>
      </c>
      <c r="AH43" s="52">
        <v>9460</v>
      </c>
      <c r="AI43" s="52">
        <v>1</v>
      </c>
      <c r="AJ43" s="53" t="s">
        <v>136</v>
      </c>
    </row>
    <row r="44" spans="1:36" ht="15.75" hidden="1" x14ac:dyDescent="0.25">
      <c r="A44" s="33" t="s">
        <v>137</v>
      </c>
      <c r="B44" s="34">
        <v>9443</v>
      </c>
      <c r="C44" s="34"/>
      <c r="D44" s="35">
        <v>94</v>
      </c>
      <c r="E44" s="36" t="str">
        <f t="shared" si="10"/>
        <v/>
      </c>
      <c r="F44" s="37" t="str">
        <f t="shared" si="11"/>
        <v/>
      </c>
      <c r="G44" s="38">
        <f t="shared" si="0"/>
        <v>0</v>
      </c>
      <c r="H44" s="38">
        <f t="shared" si="0"/>
        <v>0</v>
      </c>
      <c r="I44" s="39">
        <v>52</v>
      </c>
      <c r="J44" s="40">
        <f t="shared" si="12"/>
        <v>0.55319148936170215</v>
      </c>
      <c r="K44" s="41">
        <v>6.4669999999999996</v>
      </c>
      <c r="L44" s="42">
        <v>1</v>
      </c>
      <c r="M44" s="39">
        <f t="shared" si="1"/>
        <v>52</v>
      </c>
      <c r="N44" s="40">
        <f t="shared" si="2"/>
        <v>0.55319148936170215</v>
      </c>
      <c r="O44" s="43"/>
      <c r="P44" s="44"/>
      <c r="Q44" s="45"/>
      <c r="R44" s="46"/>
      <c r="S44" s="47"/>
      <c r="T44" s="34">
        <f t="shared" si="3"/>
        <v>0</v>
      </c>
      <c r="U44" s="34">
        <f t="shared" si="4"/>
        <v>0</v>
      </c>
      <c r="V44" s="34">
        <f t="shared" si="5"/>
        <v>0</v>
      </c>
      <c r="W44" s="34">
        <f t="shared" si="6"/>
        <v>0</v>
      </c>
      <c r="X44" s="48" t="s">
        <v>83</v>
      </c>
      <c r="Y44" s="48" t="s">
        <v>38</v>
      </c>
      <c r="Z44" s="57" t="s">
        <v>39</v>
      </c>
      <c r="AA44" s="57" t="s">
        <v>133</v>
      </c>
      <c r="AB44" s="55" t="s">
        <v>85</v>
      </c>
      <c r="AC44" s="55"/>
      <c r="AD44" s="50">
        <f t="shared" si="7"/>
        <v>0.55319148936170215</v>
      </c>
      <c r="AE44" s="51">
        <f t="shared" si="8"/>
        <v>0</v>
      </c>
      <c r="AF44" s="51">
        <f t="shared" si="9"/>
        <v>0</v>
      </c>
      <c r="AG44" s="52">
        <v>9443</v>
      </c>
      <c r="AH44" s="52">
        <v>9459</v>
      </c>
      <c r="AI44" s="52">
        <v>1</v>
      </c>
      <c r="AJ44" s="53" t="s">
        <v>138</v>
      </c>
    </row>
    <row r="45" spans="1:36" ht="15.75" hidden="1" x14ac:dyDescent="0.25">
      <c r="A45" s="58" t="s">
        <v>139</v>
      </c>
      <c r="B45" s="59">
        <v>1866</v>
      </c>
      <c r="C45" s="59"/>
      <c r="D45" s="60">
        <v>48</v>
      </c>
      <c r="E45" s="36" t="str">
        <f t="shared" si="10"/>
        <v/>
      </c>
      <c r="F45" s="37" t="str">
        <f t="shared" si="11"/>
        <v/>
      </c>
      <c r="G45" s="38">
        <f t="shared" si="0"/>
        <v>0</v>
      </c>
      <c r="H45" s="38">
        <f t="shared" si="0"/>
        <v>0</v>
      </c>
      <c r="I45" s="61">
        <v>34</v>
      </c>
      <c r="J45" s="40">
        <f t="shared" si="12"/>
        <v>0.70833333333333337</v>
      </c>
      <c r="K45" s="41">
        <v>0</v>
      </c>
      <c r="L45" s="42">
        <v>1.04</v>
      </c>
      <c r="M45" s="39">
        <f t="shared" si="1"/>
        <v>34</v>
      </c>
      <c r="N45" s="40">
        <f t="shared" si="2"/>
        <v>0.70833333333333337</v>
      </c>
      <c r="O45" s="43"/>
      <c r="P45" s="44"/>
      <c r="Q45" s="45"/>
      <c r="R45" s="46"/>
      <c r="S45" s="47"/>
      <c r="T45" s="34">
        <f t="shared" si="3"/>
        <v>0</v>
      </c>
      <c r="U45" s="34">
        <f t="shared" si="4"/>
        <v>0</v>
      </c>
      <c r="V45" s="34">
        <f t="shared" si="5"/>
        <v>0</v>
      </c>
      <c r="W45" s="34">
        <f t="shared" si="6"/>
        <v>0</v>
      </c>
      <c r="X45" s="62" t="s">
        <v>140</v>
      </c>
      <c r="Y45" s="62" t="s">
        <v>141</v>
      </c>
      <c r="Z45" s="49" t="s">
        <v>39</v>
      </c>
      <c r="AA45" s="33" t="s">
        <v>133</v>
      </c>
      <c r="AB45" s="33" t="s">
        <v>142</v>
      </c>
      <c r="AC45" s="33" t="s">
        <v>143</v>
      </c>
      <c r="AD45" s="50">
        <f t="shared" si="7"/>
        <v>0.70833333333333337</v>
      </c>
      <c r="AE45" s="51">
        <f t="shared" si="8"/>
        <v>0</v>
      </c>
      <c r="AF45" s="51">
        <f t="shared" si="9"/>
        <v>0</v>
      </c>
      <c r="AG45" s="52">
        <v>1866</v>
      </c>
      <c r="AH45" s="52">
        <v>1864</v>
      </c>
      <c r="AI45" s="52">
        <v>1</v>
      </c>
      <c r="AJ45" s="53" t="s">
        <v>144</v>
      </c>
    </row>
    <row r="46" spans="1:36" ht="15.75" x14ac:dyDescent="0.25">
      <c r="A46" s="33" t="s">
        <v>145</v>
      </c>
      <c r="B46" s="34">
        <v>501</v>
      </c>
      <c r="C46" s="136" t="s">
        <v>894</v>
      </c>
      <c r="D46" s="35">
        <v>3430</v>
      </c>
      <c r="E46" s="36" t="str">
        <f t="shared" si="10"/>
        <v/>
      </c>
      <c r="F46" s="37" t="str">
        <f t="shared" si="11"/>
        <v/>
      </c>
      <c r="G46" s="38">
        <f t="shared" si="0"/>
        <v>0</v>
      </c>
      <c r="H46" s="38">
        <f t="shared" si="0"/>
        <v>0</v>
      </c>
      <c r="I46" s="39">
        <v>1929</v>
      </c>
      <c r="J46" s="40">
        <f t="shared" si="12"/>
        <v>0.56239067055393588</v>
      </c>
      <c r="K46" s="41">
        <v>-411</v>
      </c>
      <c r="L46" s="42">
        <v>0.98899999999999999</v>
      </c>
      <c r="M46" s="39">
        <f t="shared" si="1"/>
        <v>1929</v>
      </c>
      <c r="N46" s="40">
        <f t="shared" si="2"/>
        <v>0.56239067055393588</v>
      </c>
      <c r="O46" s="43"/>
      <c r="P46" s="44"/>
      <c r="Q46" s="45"/>
      <c r="R46" s="46"/>
      <c r="S46" s="47"/>
      <c r="T46" s="34">
        <f t="shared" si="3"/>
        <v>0</v>
      </c>
      <c r="U46" s="34">
        <f t="shared" si="4"/>
        <v>0</v>
      </c>
      <c r="V46" s="34">
        <f t="shared" si="5"/>
        <v>0</v>
      </c>
      <c r="W46" s="34">
        <f t="shared" si="6"/>
        <v>0</v>
      </c>
      <c r="X46" s="62" t="s">
        <v>71</v>
      </c>
      <c r="Y46" s="62" t="s">
        <v>38</v>
      </c>
      <c r="Z46" s="49" t="s">
        <v>39</v>
      </c>
      <c r="AA46" s="49" t="s">
        <v>146</v>
      </c>
      <c r="AB46" s="33" t="s">
        <v>142</v>
      </c>
      <c r="AC46" s="33" t="s">
        <v>72</v>
      </c>
      <c r="AD46" s="50">
        <f t="shared" si="7"/>
        <v>0.56239067055393588</v>
      </c>
      <c r="AE46" s="51">
        <f t="shared" si="8"/>
        <v>0</v>
      </c>
      <c r="AF46" s="51">
        <f t="shared" si="9"/>
        <v>0</v>
      </c>
      <c r="AG46" s="52">
        <v>538</v>
      </c>
      <c r="AH46" s="52">
        <v>501</v>
      </c>
      <c r="AI46" s="52">
        <v>1</v>
      </c>
      <c r="AJ46" s="53" t="s">
        <v>147</v>
      </c>
    </row>
    <row r="47" spans="1:36" ht="15.75" x14ac:dyDescent="0.25">
      <c r="A47" s="33" t="s">
        <v>148</v>
      </c>
      <c r="B47" s="34">
        <v>502</v>
      </c>
      <c r="C47" s="136" t="s">
        <v>894</v>
      </c>
      <c r="D47" s="35">
        <v>1329</v>
      </c>
      <c r="E47" s="36" t="str">
        <f t="shared" si="10"/>
        <v/>
      </c>
      <c r="F47" s="37" t="str">
        <f t="shared" si="11"/>
        <v/>
      </c>
      <c r="G47" s="38">
        <f t="shared" si="0"/>
        <v>0</v>
      </c>
      <c r="H47" s="38">
        <f t="shared" si="0"/>
        <v>0</v>
      </c>
      <c r="I47" s="39">
        <v>600.70000000000005</v>
      </c>
      <c r="J47" s="40">
        <f t="shared" si="12"/>
        <v>0.45199398043641842</v>
      </c>
      <c r="K47" s="41">
        <v>-56.8</v>
      </c>
      <c r="L47" s="42">
        <v>1</v>
      </c>
      <c r="M47" s="39">
        <f t="shared" si="1"/>
        <v>600.70000000000005</v>
      </c>
      <c r="N47" s="40">
        <f t="shared" si="2"/>
        <v>0.45199398043641842</v>
      </c>
      <c r="O47" s="43"/>
      <c r="P47" s="44"/>
      <c r="Q47" s="45"/>
      <c r="R47" s="46"/>
      <c r="S47" s="47"/>
      <c r="T47" s="34">
        <f t="shared" si="3"/>
        <v>0</v>
      </c>
      <c r="U47" s="34">
        <f t="shared" si="4"/>
        <v>0</v>
      </c>
      <c r="V47" s="34">
        <f t="shared" si="5"/>
        <v>0</v>
      </c>
      <c r="W47" s="34">
        <f t="shared" si="6"/>
        <v>0</v>
      </c>
      <c r="X47" s="62" t="s">
        <v>71</v>
      </c>
      <c r="Y47" s="62" t="s">
        <v>38</v>
      </c>
      <c r="Z47" s="49" t="s">
        <v>47</v>
      </c>
      <c r="AA47" s="49" t="s">
        <v>146</v>
      </c>
      <c r="AB47" s="33" t="s">
        <v>142</v>
      </c>
      <c r="AC47" s="33" t="s">
        <v>72</v>
      </c>
      <c r="AD47" s="50">
        <f t="shared" si="7"/>
        <v>0.45199398043641842</v>
      </c>
      <c r="AE47" s="51">
        <f t="shared" si="8"/>
        <v>0</v>
      </c>
      <c r="AF47" s="51">
        <f t="shared" si="9"/>
        <v>0</v>
      </c>
      <c r="AG47" s="52">
        <v>539</v>
      </c>
      <c r="AH47" s="52">
        <v>502</v>
      </c>
      <c r="AI47" s="52">
        <v>1</v>
      </c>
      <c r="AJ47" s="53" t="s">
        <v>149</v>
      </c>
    </row>
    <row r="48" spans="1:36" ht="15.75" x14ac:dyDescent="0.25">
      <c r="A48" s="33" t="s">
        <v>150</v>
      </c>
      <c r="B48" s="34">
        <v>503</v>
      </c>
      <c r="C48" s="136" t="s">
        <v>894</v>
      </c>
      <c r="D48" s="35">
        <v>221</v>
      </c>
      <c r="E48" s="36" t="str">
        <f t="shared" si="10"/>
        <v/>
      </c>
      <c r="F48" s="37" t="str">
        <f t="shared" si="11"/>
        <v/>
      </c>
      <c r="G48" s="38">
        <f t="shared" si="0"/>
        <v>0</v>
      </c>
      <c r="H48" s="38">
        <f t="shared" si="0"/>
        <v>0</v>
      </c>
      <c r="I48" s="39">
        <v>110</v>
      </c>
      <c r="J48" s="40">
        <f t="shared" si="12"/>
        <v>0.49773755656108598</v>
      </c>
      <c r="K48" s="41">
        <v>15.54</v>
      </c>
      <c r="L48" s="42">
        <v>0.97699999999999998</v>
      </c>
      <c r="M48" s="39">
        <f t="shared" si="1"/>
        <v>110</v>
      </c>
      <c r="N48" s="40">
        <f t="shared" si="2"/>
        <v>0.49773755656108598</v>
      </c>
      <c r="O48" s="43"/>
      <c r="P48" s="44"/>
      <c r="Q48" s="45"/>
      <c r="R48" s="46"/>
      <c r="S48" s="47"/>
      <c r="T48" s="34">
        <f t="shared" si="3"/>
        <v>0</v>
      </c>
      <c r="U48" s="34">
        <f t="shared" si="4"/>
        <v>0</v>
      </c>
      <c r="V48" s="34">
        <f t="shared" si="5"/>
        <v>0</v>
      </c>
      <c r="W48" s="34">
        <f t="shared" si="6"/>
        <v>0</v>
      </c>
      <c r="X48" s="62" t="s">
        <v>71</v>
      </c>
      <c r="Y48" s="62" t="s">
        <v>38</v>
      </c>
      <c r="Z48" s="49" t="s">
        <v>47</v>
      </c>
      <c r="AA48" s="49" t="s">
        <v>146</v>
      </c>
      <c r="AB48" s="33" t="s">
        <v>142</v>
      </c>
      <c r="AC48" s="33"/>
      <c r="AD48" s="50">
        <f t="shared" si="7"/>
        <v>0.49773755656108598</v>
      </c>
      <c r="AE48" s="51">
        <f t="shared" si="8"/>
        <v>0</v>
      </c>
      <c r="AF48" s="51">
        <f t="shared" si="9"/>
        <v>0</v>
      </c>
      <c r="AG48" s="52">
        <v>541</v>
      </c>
      <c r="AH48" s="52">
        <v>503</v>
      </c>
      <c r="AI48" s="52">
        <v>1</v>
      </c>
      <c r="AJ48" s="53" t="s">
        <v>151</v>
      </c>
    </row>
    <row r="49" spans="1:36" ht="15.75" x14ac:dyDescent="0.25">
      <c r="A49" s="33" t="s">
        <v>152</v>
      </c>
      <c r="B49" s="34">
        <v>510</v>
      </c>
      <c r="C49" s="136" t="s">
        <v>894</v>
      </c>
      <c r="D49" s="35">
        <v>1540</v>
      </c>
      <c r="E49" s="36" t="str">
        <f t="shared" si="10"/>
        <v/>
      </c>
      <c r="F49" s="37" t="str">
        <f t="shared" si="11"/>
        <v/>
      </c>
      <c r="G49" s="38">
        <f t="shared" si="0"/>
        <v>0</v>
      </c>
      <c r="H49" s="38">
        <f t="shared" si="0"/>
        <v>0</v>
      </c>
      <c r="I49" s="39">
        <v>760.7</v>
      </c>
      <c r="J49" s="40">
        <f t="shared" si="12"/>
        <v>0.49396103896103899</v>
      </c>
      <c r="K49" s="41">
        <v>-115</v>
      </c>
      <c r="L49" s="42">
        <v>0.998</v>
      </c>
      <c r="M49" s="39">
        <f t="shared" si="1"/>
        <v>760.7</v>
      </c>
      <c r="N49" s="40">
        <f t="shared" si="2"/>
        <v>0.49396103896103899</v>
      </c>
      <c r="O49" s="43"/>
      <c r="P49" s="44"/>
      <c r="Q49" s="45"/>
      <c r="R49" s="46"/>
      <c r="S49" s="47"/>
      <c r="T49" s="34">
        <f t="shared" si="3"/>
        <v>0</v>
      </c>
      <c r="U49" s="34">
        <f t="shared" si="4"/>
        <v>0</v>
      </c>
      <c r="V49" s="34">
        <f t="shared" si="5"/>
        <v>0</v>
      </c>
      <c r="W49" s="34">
        <f t="shared" si="6"/>
        <v>0</v>
      </c>
      <c r="X49" s="62" t="s">
        <v>71</v>
      </c>
      <c r="Y49" s="62" t="s">
        <v>38</v>
      </c>
      <c r="Z49" s="49" t="s">
        <v>39</v>
      </c>
      <c r="AA49" s="49" t="s">
        <v>146</v>
      </c>
      <c r="AB49" s="33" t="s">
        <v>142</v>
      </c>
      <c r="AC49" s="33" t="s">
        <v>72</v>
      </c>
      <c r="AD49" s="50">
        <f t="shared" si="7"/>
        <v>0.49396103896103899</v>
      </c>
      <c r="AE49" s="51">
        <f t="shared" si="8"/>
        <v>0</v>
      </c>
      <c r="AF49" s="51">
        <f t="shared" si="9"/>
        <v>0</v>
      </c>
      <c r="AG49" s="52">
        <v>544</v>
      </c>
      <c r="AH49" s="52">
        <v>510</v>
      </c>
      <c r="AI49" s="52">
        <v>1</v>
      </c>
      <c r="AJ49" s="53" t="s">
        <v>153</v>
      </c>
    </row>
    <row r="50" spans="1:36" ht="15.75" hidden="1" x14ac:dyDescent="0.25">
      <c r="A50" s="33" t="s">
        <v>154</v>
      </c>
      <c r="B50" s="34">
        <v>1107</v>
      </c>
      <c r="C50" s="34"/>
      <c r="D50" s="35">
        <v>7200</v>
      </c>
      <c r="E50" s="36" t="str">
        <f t="shared" si="10"/>
        <v/>
      </c>
      <c r="F50" s="37" t="str">
        <f t="shared" si="11"/>
        <v/>
      </c>
      <c r="G50" s="38">
        <f t="shared" si="0"/>
        <v>0</v>
      </c>
      <c r="H50" s="38">
        <f t="shared" si="0"/>
        <v>0</v>
      </c>
      <c r="I50" s="39">
        <v>4200</v>
      </c>
      <c r="J50" s="40">
        <f t="shared" si="12"/>
        <v>0.58333333333333337</v>
      </c>
      <c r="K50" s="41">
        <v>-885</v>
      </c>
      <c r="L50" s="42">
        <v>0.98099999999999998</v>
      </c>
      <c r="M50" s="39">
        <f t="shared" si="1"/>
        <v>4200</v>
      </c>
      <c r="N50" s="40">
        <f t="shared" si="2"/>
        <v>0.58333333333333337</v>
      </c>
      <c r="O50" s="43"/>
      <c r="P50" s="44"/>
      <c r="Q50" s="45"/>
      <c r="R50" s="46"/>
      <c r="S50" s="47"/>
      <c r="T50" s="34">
        <f t="shared" si="3"/>
        <v>0</v>
      </c>
      <c r="U50" s="34">
        <f t="shared" si="4"/>
        <v>0</v>
      </c>
      <c r="V50" s="34">
        <f t="shared" si="5"/>
        <v>0</v>
      </c>
      <c r="W50" s="34">
        <f t="shared" si="6"/>
        <v>0</v>
      </c>
      <c r="X50" s="62" t="s">
        <v>155</v>
      </c>
      <c r="Y50" s="62" t="s">
        <v>38</v>
      </c>
      <c r="Z50" s="49" t="s">
        <v>47</v>
      </c>
      <c r="AA50" s="49" t="s">
        <v>146</v>
      </c>
      <c r="AB50" s="33" t="s">
        <v>156</v>
      </c>
      <c r="AC50" s="33"/>
      <c r="AD50" s="50">
        <f t="shared" si="7"/>
        <v>0.58333333333333337</v>
      </c>
      <c r="AE50" s="51">
        <f t="shared" si="8"/>
        <v>0</v>
      </c>
      <c r="AF50" s="51">
        <f t="shared" si="9"/>
        <v>0</v>
      </c>
      <c r="AG50" s="52">
        <v>1106</v>
      </c>
      <c r="AH50" s="52">
        <v>1107</v>
      </c>
      <c r="AI50" s="52">
        <v>1</v>
      </c>
      <c r="AJ50" s="53" t="s">
        <v>157</v>
      </c>
    </row>
    <row r="51" spans="1:36" ht="15.75" hidden="1" x14ac:dyDescent="0.25">
      <c r="A51" s="33" t="s">
        <v>158</v>
      </c>
      <c r="B51" s="34">
        <v>1100</v>
      </c>
      <c r="C51" s="34"/>
      <c r="D51" s="35">
        <v>7500</v>
      </c>
      <c r="E51" s="36" t="str">
        <f t="shared" si="10"/>
        <v/>
      </c>
      <c r="F51" s="37" t="str">
        <f t="shared" si="11"/>
        <v/>
      </c>
      <c r="G51" s="38">
        <f t="shared" si="0"/>
        <v>0</v>
      </c>
      <c r="H51" s="38">
        <f t="shared" si="0"/>
        <v>0</v>
      </c>
      <c r="I51" s="39">
        <v>6285</v>
      </c>
      <c r="J51" s="40">
        <f t="shared" si="12"/>
        <v>0.83799999999999997</v>
      </c>
      <c r="K51" s="41">
        <v>2662</v>
      </c>
      <c r="L51" s="42">
        <v>1.05</v>
      </c>
      <c r="M51" s="39">
        <f t="shared" si="1"/>
        <v>6285</v>
      </c>
      <c r="N51" s="40">
        <f t="shared" si="2"/>
        <v>0.83799999999999997</v>
      </c>
      <c r="O51" s="43"/>
      <c r="P51" s="44"/>
      <c r="Q51" s="45"/>
      <c r="R51" s="46"/>
      <c r="S51" s="47"/>
      <c r="T51" s="34">
        <f t="shared" si="3"/>
        <v>0</v>
      </c>
      <c r="U51" s="34">
        <f t="shared" si="4"/>
        <v>0</v>
      </c>
      <c r="V51" s="34">
        <f t="shared" si="5"/>
        <v>0</v>
      </c>
      <c r="W51" s="34">
        <f t="shared" si="6"/>
        <v>0</v>
      </c>
      <c r="X51" s="62" t="s">
        <v>155</v>
      </c>
      <c r="Y51" s="62" t="s">
        <v>38</v>
      </c>
      <c r="Z51" s="49" t="s">
        <v>47</v>
      </c>
      <c r="AA51" s="49" t="s">
        <v>146</v>
      </c>
      <c r="AB51" s="33" t="s">
        <v>156</v>
      </c>
      <c r="AC51" s="33"/>
      <c r="AD51" s="50">
        <f t="shared" si="7"/>
        <v>0.83799999999999997</v>
      </c>
      <c r="AE51" s="51">
        <f t="shared" si="8"/>
        <v>0</v>
      </c>
      <c r="AF51" s="51">
        <f t="shared" si="9"/>
        <v>0</v>
      </c>
      <c r="AG51" s="52">
        <v>1101</v>
      </c>
      <c r="AH51" s="52">
        <v>1100</v>
      </c>
      <c r="AI51" s="52">
        <v>1</v>
      </c>
      <c r="AJ51" s="53" t="s">
        <v>159</v>
      </c>
    </row>
    <row r="52" spans="1:36" ht="15.75" x14ac:dyDescent="0.25">
      <c r="A52" s="33" t="s">
        <v>160</v>
      </c>
      <c r="B52" s="34">
        <v>506</v>
      </c>
      <c r="C52" s="136"/>
      <c r="D52" s="35">
        <v>100</v>
      </c>
      <c r="E52" s="36" t="str">
        <f t="shared" si="10"/>
        <v/>
      </c>
      <c r="F52" s="37" t="str">
        <f t="shared" si="11"/>
        <v/>
      </c>
      <c r="G52" s="38">
        <f t="shared" si="0"/>
        <v>0</v>
      </c>
      <c r="H52" s="38">
        <f t="shared" si="0"/>
        <v>0</v>
      </c>
      <c r="I52" s="39">
        <v>47.71</v>
      </c>
      <c r="J52" s="40">
        <f t="shared" si="12"/>
        <v>0.47710000000000002</v>
      </c>
      <c r="K52" s="41">
        <v>11.03</v>
      </c>
      <c r="L52" s="42">
        <v>0.97099999999999997</v>
      </c>
      <c r="M52" s="39">
        <f t="shared" si="1"/>
        <v>47.71</v>
      </c>
      <c r="N52" s="40">
        <f t="shared" si="2"/>
        <v>0.47710000000000002</v>
      </c>
      <c r="O52" s="43"/>
      <c r="P52" s="44"/>
      <c r="Q52" s="45"/>
      <c r="R52" s="46"/>
      <c r="S52" s="47"/>
      <c r="T52" s="34">
        <f t="shared" si="3"/>
        <v>0</v>
      </c>
      <c r="U52" s="34">
        <f t="shared" si="4"/>
        <v>0</v>
      </c>
      <c r="V52" s="34">
        <f t="shared" si="5"/>
        <v>0</v>
      </c>
      <c r="W52" s="34">
        <f t="shared" si="6"/>
        <v>0</v>
      </c>
      <c r="X52" s="62" t="s">
        <v>71</v>
      </c>
      <c r="Y52" s="62" t="s">
        <v>38</v>
      </c>
      <c r="Z52" s="49" t="s">
        <v>39</v>
      </c>
      <c r="AA52" s="49" t="s">
        <v>161</v>
      </c>
      <c r="AB52" s="33" t="s">
        <v>162</v>
      </c>
      <c r="AC52" s="33" t="s">
        <v>163</v>
      </c>
      <c r="AD52" s="50">
        <f t="shared" si="7"/>
        <v>0.47710000000000002</v>
      </c>
      <c r="AE52" s="51">
        <f t="shared" si="8"/>
        <v>0</v>
      </c>
      <c r="AF52" s="51">
        <f t="shared" si="9"/>
        <v>0</v>
      </c>
      <c r="AG52" s="52">
        <v>618</v>
      </c>
      <c r="AH52" s="52">
        <v>506</v>
      </c>
      <c r="AI52" s="52">
        <v>1</v>
      </c>
      <c r="AJ52" s="53" t="s">
        <v>164</v>
      </c>
    </row>
    <row r="53" spans="1:36" ht="15.75" x14ac:dyDescent="0.25">
      <c r="A53" s="33" t="s">
        <v>165</v>
      </c>
      <c r="B53" s="34">
        <v>614</v>
      </c>
      <c r="C53" s="136"/>
      <c r="D53" s="35">
        <v>81</v>
      </c>
      <c r="E53" s="36" t="str">
        <f t="shared" si="10"/>
        <v/>
      </c>
      <c r="F53" s="37" t="str">
        <f t="shared" si="11"/>
        <v/>
      </c>
      <c r="G53" s="38">
        <f t="shared" si="0"/>
        <v>0</v>
      </c>
      <c r="H53" s="38">
        <f t="shared" si="0"/>
        <v>0</v>
      </c>
      <c r="I53" s="39">
        <v>38.17</v>
      </c>
      <c r="J53" s="40">
        <f t="shared" si="12"/>
        <v>0.47123456790123458</v>
      </c>
      <c r="K53" s="41">
        <v>-2.62</v>
      </c>
      <c r="L53" s="42">
        <v>1</v>
      </c>
      <c r="M53" s="39">
        <f t="shared" si="1"/>
        <v>38.17</v>
      </c>
      <c r="N53" s="40">
        <f t="shared" si="2"/>
        <v>0.47123456790123458</v>
      </c>
      <c r="O53" s="43"/>
      <c r="P53" s="44"/>
      <c r="Q53" s="45"/>
      <c r="R53" s="46"/>
      <c r="S53" s="47"/>
      <c r="T53" s="34">
        <f t="shared" si="3"/>
        <v>0</v>
      </c>
      <c r="U53" s="34">
        <f t="shared" si="4"/>
        <v>0</v>
      </c>
      <c r="V53" s="34">
        <f t="shared" si="5"/>
        <v>0</v>
      </c>
      <c r="W53" s="34">
        <f t="shared" si="6"/>
        <v>0</v>
      </c>
      <c r="X53" s="62" t="s">
        <v>71</v>
      </c>
      <c r="Y53" s="62" t="s">
        <v>38</v>
      </c>
      <c r="Z53" s="49" t="s">
        <v>47</v>
      </c>
      <c r="AA53" s="49" t="s">
        <v>161</v>
      </c>
      <c r="AB53" s="33" t="s">
        <v>162</v>
      </c>
      <c r="AC53" s="33" t="s">
        <v>163</v>
      </c>
      <c r="AD53" s="50">
        <f t="shared" si="7"/>
        <v>0.47123456790123458</v>
      </c>
      <c r="AE53" s="51">
        <f t="shared" si="8"/>
        <v>0</v>
      </c>
      <c r="AF53" s="51">
        <f t="shared" si="9"/>
        <v>0</v>
      </c>
      <c r="AG53" s="52">
        <v>641</v>
      </c>
      <c r="AH53" s="52">
        <v>614</v>
      </c>
      <c r="AI53" s="52">
        <v>1</v>
      </c>
      <c r="AJ53" s="53" t="s">
        <v>166</v>
      </c>
    </row>
    <row r="54" spans="1:36" ht="15.75" hidden="1" x14ac:dyDescent="0.25">
      <c r="A54" s="33" t="s">
        <v>167</v>
      </c>
      <c r="B54" s="34">
        <v>514</v>
      </c>
      <c r="C54" s="34"/>
      <c r="D54" s="35">
        <v>414</v>
      </c>
      <c r="E54" s="36" t="str">
        <f t="shared" si="10"/>
        <v/>
      </c>
      <c r="F54" s="37" t="str">
        <f t="shared" si="11"/>
        <v/>
      </c>
      <c r="G54" s="38">
        <f t="shared" si="0"/>
        <v>0</v>
      </c>
      <c r="H54" s="38">
        <f t="shared" si="0"/>
        <v>0</v>
      </c>
      <c r="I54" s="39">
        <v>147.69999999999999</v>
      </c>
      <c r="J54" s="40">
        <f t="shared" si="12"/>
        <v>0.35676328502415455</v>
      </c>
      <c r="K54" s="41">
        <v>31.66</v>
      </c>
      <c r="L54" s="42">
        <v>0.98199999999999998</v>
      </c>
      <c r="M54" s="39">
        <f t="shared" si="1"/>
        <v>147.69999999999999</v>
      </c>
      <c r="N54" s="40">
        <f t="shared" si="2"/>
        <v>0.35676328502415455</v>
      </c>
      <c r="O54" s="43"/>
      <c r="P54" s="44"/>
      <c r="Q54" s="45"/>
      <c r="R54" s="46"/>
      <c r="S54" s="47"/>
      <c r="T54" s="34">
        <f t="shared" si="3"/>
        <v>0</v>
      </c>
      <c r="U54" s="34">
        <f t="shared" si="4"/>
        <v>0</v>
      </c>
      <c r="V54" s="34">
        <f t="shared" si="5"/>
        <v>0</v>
      </c>
      <c r="W54" s="34">
        <f t="shared" si="6"/>
        <v>0</v>
      </c>
      <c r="X54" s="62" t="s">
        <v>168</v>
      </c>
      <c r="Y54" s="62" t="s">
        <v>38</v>
      </c>
      <c r="Z54" s="49" t="s">
        <v>39</v>
      </c>
      <c r="AA54" s="49" t="s">
        <v>161</v>
      </c>
      <c r="AB54" s="33" t="s">
        <v>162</v>
      </c>
      <c r="AC54" s="33" t="s">
        <v>163</v>
      </c>
      <c r="AD54" s="50">
        <f t="shared" si="7"/>
        <v>0.35676328502415455</v>
      </c>
      <c r="AE54" s="51">
        <f t="shared" si="8"/>
        <v>0</v>
      </c>
      <c r="AF54" s="51">
        <f t="shared" si="9"/>
        <v>0</v>
      </c>
      <c r="AG54" s="52">
        <v>615</v>
      </c>
      <c r="AH54" s="52">
        <v>514</v>
      </c>
      <c r="AI54" s="52">
        <v>1</v>
      </c>
      <c r="AJ54" s="53" t="s">
        <v>169</v>
      </c>
    </row>
    <row r="55" spans="1:36" ht="15.75" hidden="1" x14ac:dyDescent="0.25">
      <c r="A55" s="33" t="s">
        <v>170</v>
      </c>
      <c r="B55" s="34">
        <v>2031</v>
      </c>
      <c r="C55" s="34"/>
      <c r="D55" s="35">
        <v>44</v>
      </c>
      <c r="E55" s="36" t="str">
        <f t="shared" si="10"/>
        <v/>
      </c>
      <c r="F55" s="37" t="str">
        <f t="shared" si="11"/>
        <v/>
      </c>
      <c r="G55" s="38">
        <f t="shared" si="0"/>
        <v>0</v>
      </c>
      <c r="H55" s="38">
        <f t="shared" si="0"/>
        <v>0</v>
      </c>
      <c r="I55" s="39">
        <v>24.28</v>
      </c>
      <c r="J55" s="40">
        <f t="shared" si="12"/>
        <v>0.55181818181818187</v>
      </c>
      <c r="K55" s="41">
        <v>7.0410000000000004</v>
      </c>
      <c r="L55" s="42">
        <v>1</v>
      </c>
      <c r="M55" s="39">
        <f t="shared" si="1"/>
        <v>24.28</v>
      </c>
      <c r="N55" s="40">
        <f t="shared" si="2"/>
        <v>0.55181818181818187</v>
      </c>
      <c r="O55" s="43"/>
      <c r="P55" s="44"/>
      <c r="Q55" s="45"/>
      <c r="R55" s="46"/>
      <c r="S55" s="47"/>
      <c r="T55" s="34">
        <f t="shared" si="3"/>
        <v>0</v>
      </c>
      <c r="U55" s="34">
        <f t="shared" si="4"/>
        <v>0</v>
      </c>
      <c r="V55" s="34">
        <f t="shared" si="5"/>
        <v>0</v>
      </c>
      <c r="W55" s="34">
        <f t="shared" si="6"/>
        <v>0</v>
      </c>
      <c r="X55" s="62" t="s">
        <v>168</v>
      </c>
      <c r="Y55" s="62" t="s">
        <v>38</v>
      </c>
      <c r="Z55" s="49" t="s">
        <v>47</v>
      </c>
      <c r="AA55" s="49" t="s">
        <v>161</v>
      </c>
      <c r="AB55" s="33" t="s">
        <v>162</v>
      </c>
      <c r="AC55" s="33" t="s">
        <v>171</v>
      </c>
      <c r="AD55" s="50">
        <f t="shared" si="7"/>
        <v>0.55181818181818187</v>
      </c>
      <c r="AE55" s="51">
        <f t="shared" si="8"/>
        <v>0</v>
      </c>
      <c r="AF55" s="51">
        <f t="shared" si="9"/>
        <v>0</v>
      </c>
      <c r="AG55" s="52">
        <v>2046</v>
      </c>
      <c r="AH55" s="52">
        <v>2031</v>
      </c>
      <c r="AI55" s="52">
        <v>1</v>
      </c>
      <c r="AJ55" s="53" t="s">
        <v>172</v>
      </c>
    </row>
    <row r="56" spans="1:36" ht="15.75" hidden="1" x14ac:dyDescent="0.25">
      <c r="A56" s="33" t="s">
        <v>173</v>
      </c>
      <c r="B56" s="34">
        <v>512</v>
      </c>
      <c r="C56" s="34"/>
      <c r="D56" s="35">
        <v>73</v>
      </c>
      <c r="E56" s="36" t="str">
        <f t="shared" si="10"/>
        <v/>
      </c>
      <c r="F56" s="37" t="str">
        <f t="shared" si="11"/>
        <v/>
      </c>
      <c r="G56" s="38">
        <f t="shared" si="0"/>
        <v>0</v>
      </c>
      <c r="H56" s="38">
        <f t="shared" si="0"/>
        <v>0</v>
      </c>
      <c r="I56" s="39">
        <v>44.03</v>
      </c>
      <c r="J56" s="40">
        <f t="shared" si="12"/>
        <v>0.60315068493150692</v>
      </c>
      <c r="K56" s="41">
        <v>5.91</v>
      </c>
      <c r="L56" s="42">
        <v>0.98</v>
      </c>
      <c r="M56" s="39">
        <f t="shared" si="1"/>
        <v>44.03</v>
      </c>
      <c r="N56" s="40">
        <f t="shared" si="2"/>
        <v>0.60315068493150692</v>
      </c>
      <c r="O56" s="43"/>
      <c r="P56" s="44"/>
      <c r="Q56" s="45"/>
      <c r="R56" s="46"/>
      <c r="S56" s="47"/>
      <c r="T56" s="34">
        <f t="shared" si="3"/>
        <v>0</v>
      </c>
      <c r="U56" s="34">
        <f t="shared" si="4"/>
        <v>0</v>
      </c>
      <c r="V56" s="34">
        <f t="shared" si="5"/>
        <v>0</v>
      </c>
      <c r="W56" s="34">
        <f t="shared" si="6"/>
        <v>0</v>
      </c>
      <c r="X56" s="62" t="s">
        <v>168</v>
      </c>
      <c r="Y56" s="62" t="s">
        <v>38</v>
      </c>
      <c r="Z56" s="49" t="s">
        <v>47</v>
      </c>
      <c r="AA56" s="49" t="s">
        <v>161</v>
      </c>
      <c r="AB56" s="33" t="s">
        <v>162</v>
      </c>
      <c r="AC56" s="33" t="s">
        <v>171</v>
      </c>
      <c r="AD56" s="50">
        <f t="shared" si="7"/>
        <v>0.60315068493150692</v>
      </c>
      <c r="AE56" s="51">
        <f t="shared" si="8"/>
        <v>0</v>
      </c>
      <c r="AF56" s="51">
        <f t="shared" si="9"/>
        <v>0</v>
      </c>
      <c r="AG56" s="52">
        <v>613</v>
      </c>
      <c r="AH56" s="52">
        <v>512</v>
      </c>
      <c r="AI56" s="52">
        <v>1</v>
      </c>
      <c r="AJ56" s="53" t="s">
        <v>174</v>
      </c>
    </row>
    <row r="57" spans="1:36" ht="15.75" hidden="1" x14ac:dyDescent="0.25">
      <c r="A57" s="33" t="s">
        <v>175</v>
      </c>
      <c r="B57" s="34">
        <v>509</v>
      </c>
      <c r="C57" s="34"/>
      <c r="D57" s="35">
        <v>72</v>
      </c>
      <c r="E57" s="36" t="str">
        <f t="shared" si="10"/>
        <v/>
      </c>
      <c r="F57" s="37" t="str">
        <f t="shared" si="11"/>
        <v/>
      </c>
      <c r="G57" s="38">
        <f t="shared" si="0"/>
        <v>0</v>
      </c>
      <c r="H57" s="38">
        <f t="shared" si="0"/>
        <v>0</v>
      </c>
      <c r="I57" s="39">
        <v>45.9</v>
      </c>
      <c r="J57" s="40">
        <f t="shared" si="12"/>
        <v>0.63749999999999996</v>
      </c>
      <c r="K57" s="41">
        <v>1.3520000000000001</v>
      </c>
      <c r="L57" s="42">
        <v>0.99099999999999999</v>
      </c>
      <c r="M57" s="39">
        <f t="shared" si="1"/>
        <v>45.9</v>
      </c>
      <c r="N57" s="40">
        <f t="shared" si="2"/>
        <v>0.63749999999999996</v>
      </c>
      <c r="O57" s="43"/>
      <c r="P57" s="44"/>
      <c r="Q57" s="45"/>
      <c r="R57" s="46"/>
      <c r="S57" s="47"/>
      <c r="T57" s="34">
        <f t="shared" si="3"/>
        <v>0</v>
      </c>
      <c r="U57" s="34">
        <f t="shared" si="4"/>
        <v>0</v>
      </c>
      <c r="V57" s="34">
        <f t="shared" si="5"/>
        <v>0</v>
      </c>
      <c r="W57" s="34">
        <f t="shared" si="6"/>
        <v>0</v>
      </c>
      <c r="X57" s="62" t="s">
        <v>168</v>
      </c>
      <c r="Y57" s="62" t="s">
        <v>38</v>
      </c>
      <c r="Z57" s="49" t="s">
        <v>47</v>
      </c>
      <c r="AA57" s="49" t="s">
        <v>161</v>
      </c>
      <c r="AB57" s="33" t="s">
        <v>162</v>
      </c>
      <c r="AC57" s="33" t="s">
        <v>171</v>
      </c>
      <c r="AD57" s="50">
        <f t="shared" si="7"/>
        <v>0.63749999999999996</v>
      </c>
      <c r="AE57" s="51">
        <f t="shared" si="8"/>
        <v>0</v>
      </c>
      <c r="AF57" s="51">
        <f t="shared" si="9"/>
        <v>0</v>
      </c>
      <c r="AG57" s="52">
        <v>557</v>
      </c>
      <c r="AH57" s="52">
        <v>509</v>
      </c>
      <c r="AI57" s="52">
        <v>1</v>
      </c>
      <c r="AJ57" s="53" t="s">
        <v>176</v>
      </c>
    </row>
    <row r="58" spans="1:36" ht="15.75" hidden="1" x14ac:dyDescent="0.25">
      <c r="A58" s="33" t="s">
        <v>177</v>
      </c>
      <c r="B58" s="34">
        <v>508</v>
      </c>
      <c r="C58" s="34"/>
      <c r="D58" s="35">
        <v>82</v>
      </c>
      <c r="E58" s="36" t="str">
        <f t="shared" si="10"/>
        <v/>
      </c>
      <c r="F58" s="37" t="str">
        <f t="shared" si="11"/>
        <v/>
      </c>
      <c r="G58" s="38">
        <f t="shared" si="0"/>
        <v>0</v>
      </c>
      <c r="H58" s="38">
        <f t="shared" si="0"/>
        <v>0</v>
      </c>
      <c r="I58" s="39">
        <v>39.44</v>
      </c>
      <c r="J58" s="40">
        <f t="shared" si="12"/>
        <v>0.48097560975609754</v>
      </c>
      <c r="K58" s="41">
        <v>2.1619999999999999</v>
      </c>
      <c r="L58" s="42">
        <v>0.98299999999999998</v>
      </c>
      <c r="M58" s="39">
        <f t="shared" si="1"/>
        <v>39.44</v>
      </c>
      <c r="N58" s="40">
        <f t="shared" si="2"/>
        <v>0.48097560975609754</v>
      </c>
      <c r="O58" s="43"/>
      <c r="P58" s="44"/>
      <c r="Q58" s="45"/>
      <c r="R58" s="46"/>
      <c r="S58" s="47"/>
      <c r="T58" s="34">
        <f t="shared" si="3"/>
        <v>0</v>
      </c>
      <c r="U58" s="34">
        <f t="shared" si="4"/>
        <v>0</v>
      </c>
      <c r="V58" s="34">
        <f t="shared" si="5"/>
        <v>0</v>
      </c>
      <c r="W58" s="34">
        <f t="shared" si="6"/>
        <v>0</v>
      </c>
      <c r="X58" s="62" t="s">
        <v>168</v>
      </c>
      <c r="Y58" s="62" t="s">
        <v>38</v>
      </c>
      <c r="Z58" s="49" t="s">
        <v>47</v>
      </c>
      <c r="AA58" s="49" t="s">
        <v>161</v>
      </c>
      <c r="AB58" s="33" t="s">
        <v>162</v>
      </c>
      <c r="AC58" s="33" t="s">
        <v>171</v>
      </c>
      <c r="AD58" s="50">
        <f t="shared" si="7"/>
        <v>0.48097560975609754</v>
      </c>
      <c r="AE58" s="51">
        <f t="shared" si="8"/>
        <v>0</v>
      </c>
      <c r="AF58" s="51">
        <f t="shared" si="9"/>
        <v>0</v>
      </c>
      <c r="AG58" s="52">
        <v>555</v>
      </c>
      <c r="AH58" s="52">
        <v>508</v>
      </c>
      <c r="AI58" s="52">
        <v>1</v>
      </c>
      <c r="AJ58" s="53" t="s">
        <v>178</v>
      </c>
    </row>
    <row r="59" spans="1:36" ht="15.75" x14ac:dyDescent="0.25">
      <c r="A59" s="33" t="s">
        <v>179</v>
      </c>
      <c r="B59" s="34">
        <v>507</v>
      </c>
      <c r="C59" s="136" t="s">
        <v>894</v>
      </c>
      <c r="D59" s="35">
        <v>619</v>
      </c>
      <c r="E59" s="36" t="str">
        <f t="shared" si="10"/>
        <v/>
      </c>
      <c r="F59" s="37" t="str">
        <f t="shared" si="11"/>
        <v/>
      </c>
      <c r="G59" s="38">
        <f t="shared" si="0"/>
        <v>0</v>
      </c>
      <c r="H59" s="38">
        <f t="shared" si="0"/>
        <v>0</v>
      </c>
      <c r="I59" s="39">
        <v>471.1</v>
      </c>
      <c r="J59" s="40">
        <f t="shared" si="12"/>
        <v>0.76106623586429734</v>
      </c>
      <c r="K59" s="41">
        <v>-29.8</v>
      </c>
      <c r="L59" s="42">
        <v>0.996</v>
      </c>
      <c r="M59" s="39">
        <f t="shared" si="1"/>
        <v>471.1</v>
      </c>
      <c r="N59" s="40">
        <f t="shared" si="2"/>
        <v>0.76106623586429734</v>
      </c>
      <c r="O59" s="43"/>
      <c r="P59" s="44"/>
      <c r="Q59" s="45"/>
      <c r="R59" s="46"/>
      <c r="S59" s="47"/>
      <c r="T59" s="34">
        <f t="shared" si="3"/>
        <v>0</v>
      </c>
      <c r="U59" s="34">
        <f t="shared" si="4"/>
        <v>0</v>
      </c>
      <c r="V59" s="34">
        <f t="shared" si="5"/>
        <v>0</v>
      </c>
      <c r="W59" s="34">
        <f t="shared" si="6"/>
        <v>0</v>
      </c>
      <c r="X59" s="62" t="s">
        <v>71</v>
      </c>
      <c r="Y59" s="62" t="s">
        <v>38</v>
      </c>
      <c r="Z59" s="49" t="s">
        <v>39</v>
      </c>
      <c r="AA59" s="49" t="s">
        <v>161</v>
      </c>
      <c r="AB59" s="33" t="s">
        <v>162</v>
      </c>
      <c r="AC59" s="33" t="s">
        <v>72</v>
      </c>
      <c r="AD59" s="50">
        <f t="shared" si="7"/>
        <v>0.76106623586429734</v>
      </c>
      <c r="AE59" s="51">
        <f t="shared" si="8"/>
        <v>0</v>
      </c>
      <c r="AF59" s="51">
        <f t="shared" si="9"/>
        <v>0</v>
      </c>
      <c r="AG59" s="52">
        <v>549</v>
      </c>
      <c r="AH59" s="52">
        <v>507</v>
      </c>
      <c r="AI59" s="52">
        <v>1</v>
      </c>
      <c r="AJ59" s="53" t="s">
        <v>180</v>
      </c>
    </row>
    <row r="60" spans="1:36" ht="15.75" x14ac:dyDescent="0.25">
      <c r="A60" s="33" t="s">
        <v>181</v>
      </c>
      <c r="B60" s="34">
        <v>513</v>
      </c>
      <c r="C60" s="136" t="s">
        <v>894</v>
      </c>
      <c r="D60" s="35">
        <v>525</v>
      </c>
      <c r="E60" s="36" t="str">
        <f t="shared" si="10"/>
        <v/>
      </c>
      <c r="F60" s="37" t="str">
        <f t="shared" si="11"/>
        <v/>
      </c>
      <c r="G60" s="38">
        <f t="shared" si="0"/>
        <v>0</v>
      </c>
      <c r="H60" s="38">
        <f t="shared" si="0"/>
        <v>0</v>
      </c>
      <c r="I60" s="39">
        <v>325.89999999999998</v>
      </c>
      <c r="J60" s="40">
        <f t="shared" si="12"/>
        <v>0.62076190476190474</v>
      </c>
      <c r="K60" s="41">
        <v>-36.200000000000003</v>
      </c>
      <c r="L60" s="42">
        <v>1</v>
      </c>
      <c r="M60" s="39">
        <f t="shared" si="1"/>
        <v>325.89999999999998</v>
      </c>
      <c r="N60" s="40">
        <f t="shared" si="2"/>
        <v>0.62076190476190474</v>
      </c>
      <c r="O60" s="43"/>
      <c r="P60" s="44"/>
      <c r="Q60" s="45"/>
      <c r="R60" s="46"/>
      <c r="S60" s="47"/>
      <c r="T60" s="34">
        <f t="shared" si="3"/>
        <v>0</v>
      </c>
      <c r="U60" s="34">
        <f t="shared" si="4"/>
        <v>0</v>
      </c>
      <c r="V60" s="34">
        <f t="shared" si="5"/>
        <v>0</v>
      </c>
      <c r="W60" s="34">
        <f t="shared" si="6"/>
        <v>0</v>
      </c>
      <c r="X60" s="62" t="s">
        <v>71</v>
      </c>
      <c r="Y60" s="62" t="s">
        <v>38</v>
      </c>
      <c r="Z60" s="49" t="s">
        <v>47</v>
      </c>
      <c r="AA60" s="49" t="s">
        <v>161</v>
      </c>
      <c r="AB60" s="33" t="s">
        <v>162</v>
      </c>
      <c r="AC60" s="33" t="s">
        <v>72</v>
      </c>
      <c r="AD60" s="50">
        <f t="shared" si="7"/>
        <v>0.62076190476190474</v>
      </c>
      <c r="AE60" s="51">
        <f t="shared" si="8"/>
        <v>0</v>
      </c>
      <c r="AF60" s="51">
        <f t="shared" si="9"/>
        <v>0</v>
      </c>
      <c r="AG60" s="52">
        <v>547</v>
      </c>
      <c r="AH60" s="52">
        <v>513</v>
      </c>
      <c r="AI60" s="52">
        <v>1</v>
      </c>
      <c r="AJ60" s="53" t="s">
        <v>182</v>
      </c>
    </row>
    <row r="61" spans="1:36" ht="15.75" hidden="1" x14ac:dyDescent="0.25">
      <c r="A61" s="58" t="s">
        <v>183</v>
      </c>
      <c r="B61" s="59">
        <v>505</v>
      </c>
      <c r="C61" s="59"/>
      <c r="D61" s="60" t="s">
        <v>184</v>
      </c>
      <c r="E61" s="36" t="str">
        <f t="shared" si="10"/>
        <v/>
      </c>
      <c r="F61" s="37" t="str">
        <f t="shared" si="11"/>
        <v/>
      </c>
      <c r="G61" s="63">
        <f t="shared" si="0"/>
        <v>0</v>
      </c>
      <c r="H61" s="63">
        <f t="shared" si="0"/>
        <v>0</v>
      </c>
      <c r="I61" s="64"/>
      <c r="J61" s="65" t="str">
        <f t="shared" si="12"/>
        <v>-</v>
      </c>
      <c r="K61" s="66"/>
      <c r="L61" s="67"/>
      <c r="M61" s="64">
        <f t="shared" si="1"/>
        <v>0</v>
      </c>
      <c r="N61" s="65">
        <f t="shared" si="2"/>
        <v>0</v>
      </c>
      <c r="O61" s="68"/>
      <c r="P61" s="69"/>
      <c r="Q61" s="70"/>
      <c r="R61" s="71"/>
      <c r="S61" s="47"/>
      <c r="T61" s="59">
        <f t="shared" si="3"/>
        <v>0</v>
      </c>
      <c r="U61" s="59">
        <f t="shared" si="4"/>
        <v>0</v>
      </c>
      <c r="V61" s="59">
        <f t="shared" si="5"/>
        <v>0</v>
      </c>
      <c r="W61" s="59">
        <f t="shared" si="6"/>
        <v>0</v>
      </c>
      <c r="X61" s="72" t="s">
        <v>168</v>
      </c>
      <c r="Y61" s="72" t="s">
        <v>38</v>
      </c>
      <c r="Z61" s="73" t="s">
        <v>47</v>
      </c>
      <c r="AA61" s="73" t="s">
        <v>161</v>
      </c>
      <c r="AB61" s="58" t="s">
        <v>162</v>
      </c>
      <c r="AC61" s="58"/>
      <c r="AD61" s="74">
        <f t="shared" si="7"/>
        <v>0</v>
      </c>
      <c r="AE61" s="75">
        <f t="shared" si="8"/>
        <v>0</v>
      </c>
      <c r="AF61" s="75">
        <f t="shared" si="9"/>
        <v>0</v>
      </c>
      <c r="AG61" s="76" t="s">
        <v>134</v>
      </c>
      <c r="AH61" s="76" t="s">
        <v>134</v>
      </c>
      <c r="AI61" s="76" t="s">
        <v>134</v>
      </c>
      <c r="AJ61" s="77" t="s">
        <v>134</v>
      </c>
    </row>
    <row r="62" spans="1:36" ht="15.75" hidden="1" x14ac:dyDescent="0.25">
      <c r="A62" s="33" t="s">
        <v>185</v>
      </c>
      <c r="B62" s="34">
        <v>511</v>
      </c>
      <c r="C62" s="34"/>
      <c r="D62" s="35">
        <v>354</v>
      </c>
      <c r="E62" s="36" t="str">
        <f t="shared" si="10"/>
        <v/>
      </c>
      <c r="F62" s="37" t="str">
        <f t="shared" si="11"/>
        <v/>
      </c>
      <c r="G62" s="38">
        <f t="shared" si="0"/>
        <v>0</v>
      </c>
      <c r="H62" s="38">
        <f t="shared" si="0"/>
        <v>0</v>
      </c>
      <c r="I62" s="39">
        <v>247.7</v>
      </c>
      <c r="J62" s="40">
        <f t="shared" si="12"/>
        <v>0.69971751412429373</v>
      </c>
      <c r="K62" s="41">
        <v>23.29</v>
      </c>
      <c r="L62" s="42">
        <v>0.97699999999999998</v>
      </c>
      <c r="M62" s="39">
        <f t="shared" si="1"/>
        <v>247.7</v>
      </c>
      <c r="N62" s="40">
        <f t="shared" si="2"/>
        <v>0.69971751412429373</v>
      </c>
      <c r="O62" s="43"/>
      <c r="P62" s="44"/>
      <c r="Q62" s="45"/>
      <c r="R62" s="46"/>
      <c r="S62" s="47"/>
      <c r="T62" s="34">
        <f t="shared" si="3"/>
        <v>0</v>
      </c>
      <c r="U62" s="34">
        <f t="shared" si="4"/>
        <v>0</v>
      </c>
      <c r="V62" s="34">
        <f t="shared" si="5"/>
        <v>0</v>
      </c>
      <c r="W62" s="34">
        <f t="shared" si="6"/>
        <v>0</v>
      </c>
      <c r="X62" s="62" t="s">
        <v>168</v>
      </c>
      <c r="Y62" s="62" t="s">
        <v>38</v>
      </c>
      <c r="Z62" s="49" t="s">
        <v>47</v>
      </c>
      <c r="AA62" s="49" t="s">
        <v>161</v>
      </c>
      <c r="AB62" s="33" t="s">
        <v>162</v>
      </c>
      <c r="AC62" s="33"/>
      <c r="AD62" s="50">
        <f t="shared" si="7"/>
        <v>0.69971751412429373</v>
      </c>
      <c r="AE62" s="51">
        <f t="shared" si="8"/>
        <v>0</v>
      </c>
      <c r="AF62" s="51">
        <f t="shared" si="9"/>
        <v>0</v>
      </c>
      <c r="AG62" s="52">
        <v>546</v>
      </c>
      <c r="AH62" s="52">
        <v>511</v>
      </c>
      <c r="AI62" s="52">
        <v>1</v>
      </c>
      <c r="AJ62" s="53" t="s">
        <v>186</v>
      </c>
    </row>
    <row r="63" spans="1:36" ht="15.75" hidden="1" x14ac:dyDescent="0.25">
      <c r="A63" s="58" t="s">
        <v>187</v>
      </c>
      <c r="B63" s="59">
        <v>983</v>
      </c>
      <c r="C63" s="59"/>
      <c r="D63" s="60">
        <v>358</v>
      </c>
      <c r="E63" s="36" t="str">
        <f t="shared" si="10"/>
        <v/>
      </c>
      <c r="F63" s="37" t="str">
        <f t="shared" si="11"/>
        <v/>
      </c>
      <c r="G63" s="38">
        <f t="shared" si="0"/>
        <v>0</v>
      </c>
      <c r="H63" s="38">
        <f t="shared" si="0"/>
        <v>0</v>
      </c>
      <c r="I63" s="78">
        <v>180</v>
      </c>
      <c r="J63" s="40">
        <f t="shared" si="12"/>
        <v>0.5027932960893855</v>
      </c>
      <c r="K63" s="41">
        <v>-43.5</v>
      </c>
      <c r="L63" s="42">
        <v>0.996</v>
      </c>
      <c r="M63" s="39">
        <f t="shared" si="1"/>
        <v>180</v>
      </c>
      <c r="N63" s="40">
        <f t="shared" si="2"/>
        <v>0.5027932960893855</v>
      </c>
      <c r="O63" s="43"/>
      <c r="P63" s="44"/>
      <c r="Q63" s="45"/>
      <c r="R63" s="46"/>
      <c r="S63" s="47"/>
      <c r="T63" s="34">
        <f t="shared" si="3"/>
        <v>0</v>
      </c>
      <c r="U63" s="34">
        <f t="shared" si="4"/>
        <v>0</v>
      </c>
      <c r="V63" s="34">
        <f t="shared" si="5"/>
        <v>0</v>
      </c>
      <c r="W63" s="34">
        <f t="shared" si="6"/>
        <v>0</v>
      </c>
      <c r="X63" s="62" t="s">
        <v>155</v>
      </c>
      <c r="Y63" s="62" t="s">
        <v>141</v>
      </c>
      <c r="Z63" s="79" t="s">
        <v>39</v>
      </c>
      <c r="AA63" s="79" t="s">
        <v>188</v>
      </c>
      <c r="AB63" s="79" t="s">
        <v>162</v>
      </c>
      <c r="AC63" s="79" t="s">
        <v>189</v>
      </c>
      <c r="AD63" s="50">
        <f t="shared" si="7"/>
        <v>0.5027932960893855</v>
      </c>
      <c r="AE63" s="51">
        <f t="shared" si="8"/>
        <v>0</v>
      </c>
      <c r="AF63" s="51">
        <f t="shared" si="9"/>
        <v>0</v>
      </c>
      <c r="AG63" s="52">
        <v>981</v>
      </c>
      <c r="AH63" s="52">
        <v>983</v>
      </c>
      <c r="AI63" s="52">
        <v>1</v>
      </c>
      <c r="AJ63" s="53" t="s">
        <v>190</v>
      </c>
    </row>
    <row r="64" spans="1:36" ht="15.75" hidden="1" x14ac:dyDescent="0.25">
      <c r="A64" s="58" t="s">
        <v>191</v>
      </c>
      <c r="B64" s="59">
        <v>984</v>
      </c>
      <c r="C64" s="59"/>
      <c r="D64" s="60">
        <v>11</v>
      </c>
      <c r="E64" s="36" t="str">
        <f t="shared" si="10"/>
        <v/>
      </c>
      <c r="F64" s="37" t="str">
        <f t="shared" si="11"/>
        <v/>
      </c>
      <c r="G64" s="38">
        <f t="shared" si="0"/>
        <v>0</v>
      </c>
      <c r="H64" s="38">
        <f t="shared" si="0"/>
        <v>0</v>
      </c>
      <c r="I64" s="78">
        <v>6</v>
      </c>
      <c r="J64" s="40">
        <f t="shared" si="12"/>
        <v>0.54545454545454541</v>
      </c>
      <c r="K64" s="41">
        <v>-0.76500000000000001</v>
      </c>
      <c r="L64" s="42">
        <v>0.996</v>
      </c>
      <c r="M64" s="39">
        <f t="shared" si="1"/>
        <v>6</v>
      </c>
      <c r="N64" s="40">
        <f t="shared" si="2"/>
        <v>0.54545454545454541</v>
      </c>
      <c r="O64" s="43"/>
      <c r="P64" s="44"/>
      <c r="Q64" s="45"/>
      <c r="R64" s="46"/>
      <c r="S64" s="47"/>
      <c r="T64" s="34">
        <f t="shared" si="3"/>
        <v>0</v>
      </c>
      <c r="U64" s="34">
        <f t="shared" si="4"/>
        <v>0</v>
      </c>
      <c r="V64" s="34">
        <f t="shared" si="5"/>
        <v>0</v>
      </c>
      <c r="W64" s="34">
        <f t="shared" si="6"/>
        <v>0</v>
      </c>
      <c r="X64" s="62" t="s">
        <v>155</v>
      </c>
      <c r="Y64" s="62" t="s">
        <v>141</v>
      </c>
      <c r="Z64" s="79" t="s">
        <v>47</v>
      </c>
      <c r="AA64" s="79" t="s">
        <v>188</v>
      </c>
      <c r="AB64" s="79" t="s">
        <v>162</v>
      </c>
      <c r="AC64" s="79" t="s">
        <v>189</v>
      </c>
      <c r="AD64" s="50">
        <f t="shared" si="7"/>
        <v>0.54545454545454541</v>
      </c>
      <c r="AE64" s="51">
        <f t="shared" si="8"/>
        <v>0</v>
      </c>
      <c r="AF64" s="51">
        <f t="shared" si="9"/>
        <v>0</v>
      </c>
      <c r="AG64" s="52">
        <v>993</v>
      </c>
      <c r="AH64" s="52">
        <v>984</v>
      </c>
      <c r="AI64" s="52">
        <v>1</v>
      </c>
      <c r="AJ64" s="53" t="s">
        <v>192</v>
      </c>
    </row>
    <row r="65" spans="1:36" ht="15.75" x14ac:dyDescent="0.25">
      <c r="A65" s="33" t="s">
        <v>193</v>
      </c>
      <c r="B65" s="34">
        <v>516</v>
      </c>
      <c r="C65" s="136"/>
      <c r="D65" s="35">
        <v>140</v>
      </c>
      <c r="E65" s="36" t="str">
        <f t="shared" si="10"/>
        <v/>
      </c>
      <c r="F65" s="37" t="str">
        <f t="shared" si="11"/>
        <v/>
      </c>
      <c r="G65" s="38">
        <f t="shared" si="0"/>
        <v>0</v>
      </c>
      <c r="H65" s="38">
        <f t="shared" si="0"/>
        <v>0</v>
      </c>
      <c r="I65" s="39">
        <v>41.64</v>
      </c>
      <c r="J65" s="40">
        <f t="shared" si="12"/>
        <v>0.29742857142857143</v>
      </c>
      <c r="K65" s="41">
        <v>9.4429999999999996</v>
      </c>
      <c r="L65" s="42">
        <v>1</v>
      </c>
      <c r="M65" s="39">
        <f t="shared" si="1"/>
        <v>41.64</v>
      </c>
      <c r="N65" s="40">
        <f t="shared" si="2"/>
        <v>0.29742857142857143</v>
      </c>
      <c r="O65" s="43"/>
      <c r="P65" s="44"/>
      <c r="Q65" s="45"/>
      <c r="R65" s="46"/>
      <c r="S65" s="47"/>
      <c r="T65" s="34">
        <f t="shared" si="3"/>
        <v>0</v>
      </c>
      <c r="U65" s="34">
        <f t="shared" si="4"/>
        <v>0</v>
      </c>
      <c r="V65" s="34">
        <f t="shared" si="5"/>
        <v>0</v>
      </c>
      <c r="W65" s="34">
        <f t="shared" si="6"/>
        <v>0</v>
      </c>
      <c r="X65" s="62" t="s">
        <v>71</v>
      </c>
      <c r="Y65" s="62" t="s">
        <v>38</v>
      </c>
      <c r="Z65" s="80" t="s">
        <v>39</v>
      </c>
      <c r="AA65" s="80" t="s">
        <v>194</v>
      </c>
      <c r="AB65" s="81" t="s">
        <v>195</v>
      </c>
      <c r="AC65" s="33" t="s">
        <v>76</v>
      </c>
      <c r="AD65" s="50">
        <f t="shared" si="7"/>
        <v>0.29742857142857143</v>
      </c>
      <c r="AE65" s="51">
        <f t="shared" si="8"/>
        <v>0</v>
      </c>
      <c r="AF65" s="51">
        <f t="shared" si="9"/>
        <v>0</v>
      </c>
      <c r="AG65" s="52">
        <v>635</v>
      </c>
      <c r="AH65" s="52">
        <v>516</v>
      </c>
      <c r="AI65" s="52">
        <v>1</v>
      </c>
      <c r="AJ65" s="53" t="s">
        <v>196</v>
      </c>
    </row>
    <row r="66" spans="1:36" ht="15.75" x14ac:dyDescent="0.25">
      <c r="A66" s="33" t="s">
        <v>197</v>
      </c>
      <c r="B66" s="34">
        <v>515</v>
      </c>
      <c r="C66" s="136"/>
      <c r="D66" s="35">
        <v>91</v>
      </c>
      <c r="E66" s="36" t="str">
        <f t="shared" si="10"/>
        <v/>
      </c>
      <c r="F66" s="37" t="str">
        <f t="shared" si="11"/>
        <v/>
      </c>
      <c r="G66" s="38">
        <f t="shared" si="0"/>
        <v>0</v>
      </c>
      <c r="H66" s="38">
        <f t="shared" si="0"/>
        <v>0</v>
      </c>
      <c r="I66" s="39">
        <v>87.31</v>
      </c>
      <c r="J66" s="40">
        <f t="shared" si="12"/>
        <v>0.95945054945054953</v>
      </c>
      <c r="K66" s="41">
        <v>25.35</v>
      </c>
      <c r="L66" s="42">
        <v>1</v>
      </c>
      <c r="M66" s="39">
        <f t="shared" si="1"/>
        <v>87.31</v>
      </c>
      <c r="N66" s="40">
        <f t="shared" si="2"/>
        <v>0.95945054945054953</v>
      </c>
      <c r="O66" s="43"/>
      <c r="P66" s="44"/>
      <c r="Q66" s="45"/>
      <c r="R66" s="46"/>
      <c r="S66" s="47"/>
      <c r="T66" s="34">
        <f t="shared" si="3"/>
        <v>0</v>
      </c>
      <c r="U66" s="34">
        <f t="shared" si="4"/>
        <v>0</v>
      </c>
      <c r="V66" s="34">
        <f t="shared" si="5"/>
        <v>0</v>
      </c>
      <c r="W66" s="34">
        <f t="shared" si="6"/>
        <v>0</v>
      </c>
      <c r="X66" s="62" t="s">
        <v>71</v>
      </c>
      <c r="Y66" s="62" t="s">
        <v>38</v>
      </c>
      <c r="Z66" s="80" t="s">
        <v>47</v>
      </c>
      <c r="AA66" s="80" t="s">
        <v>194</v>
      </c>
      <c r="AB66" s="81" t="s">
        <v>195</v>
      </c>
      <c r="AC66" s="33" t="s">
        <v>76</v>
      </c>
      <c r="AD66" s="50">
        <f t="shared" si="7"/>
        <v>0.95945054945054953</v>
      </c>
      <c r="AE66" s="51">
        <f t="shared" si="8"/>
        <v>0</v>
      </c>
      <c r="AF66" s="51">
        <f t="shared" si="9"/>
        <v>0</v>
      </c>
      <c r="AG66" s="52">
        <v>634</v>
      </c>
      <c r="AH66" s="52">
        <v>515</v>
      </c>
      <c r="AI66" s="52">
        <v>1</v>
      </c>
      <c r="AJ66" s="53" t="s">
        <v>198</v>
      </c>
    </row>
    <row r="67" spans="1:36" ht="15.75" x14ac:dyDescent="0.25">
      <c r="A67" s="33" t="s">
        <v>199</v>
      </c>
      <c r="B67" s="34">
        <v>524</v>
      </c>
      <c r="C67" s="136"/>
      <c r="D67" s="35">
        <v>45</v>
      </c>
      <c r="E67" s="36" t="str">
        <f t="shared" si="10"/>
        <v/>
      </c>
      <c r="F67" s="37" t="str">
        <f t="shared" si="11"/>
        <v/>
      </c>
      <c r="G67" s="38">
        <f t="shared" si="0"/>
        <v>0</v>
      </c>
      <c r="H67" s="38">
        <f t="shared" si="0"/>
        <v>0</v>
      </c>
      <c r="I67" s="39">
        <v>41.35</v>
      </c>
      <c r="J67" s="40">
        <f t="shared" si="12"/>
        <v>0.91888888888888887</v>
      </c>
      <c r="K67" s="41">
        <v>-1.7</v>
      </c>
      <c r="L67" s="42">
        <v>1.02</v>
      </c>
      <c r="M67" s="39">
        <f t="shared" si="1"/>
        <v>41.35</v>
      </c>
      <c r="N67" s="40">
        <f t="shared" si="2"/>
        <v>0.91888888888888887</v>
      </c>
      <c r="O67" s="43"/>
      <c r="P67" s="44"/>
      <c r="Q67" s="45"/>
      <c r="R67" s="46"/>
      <c r="S67" s="47"/>
      <c r="T67" s="34">
        <f t="shared" si="3"/>
        <v>0</v>
      </c>
      <c r="U67" s="34">
        <f t="shared" si="4"/>
        <v>0</v>
      </c>
      <c r="V67" s="34">
        <f t="shared" si="5"/>
        <v>0</v>
      </c>
      <c r="W67" s="34">
        <f t="shared" si="6"/>
        <v>0</v>
      </c>
      <c r="X67" s="62" t="s">
        <v>71</v>
      </c>
      <c r="Y67" s="62" t="s">
        <v>38</v>
      </c>
      <c r="Z67" s="80" t="s">
        <v>47</v>
      </c>
      <c r="AA67" s="80" t="s">
        <v>194</v>
      </c>
      <c r="AB67" s="81" t="s">
        <v>195</v>
      </c>
      <c r="AC67" s="33" t="s">
        <v>76</v>
      </c>
      <c r="AD67" s="50">
        <f t="shared" si="7"/>
        <v>0.91888888888888887</v>
      </c>
      <c r="AE67" s="51">
        <f t="shared" si="8"/>
        <v>0</v>
      </c>
      <c r="AF67" s="51">
        <f t="shared" si="9"/>
        <v>0</v>
      </c>
      <c r="AG67" s="52">
        <v>524</v>
      </c>
      <c r="AH67" s="52">
        <v>634</v>
      </c>
      <c r="AI67" s="52">
        <v>1</v>
      </c>
      <c r="AJ67" s="53" t="s">
        <v>200</v>
      </c>
    </row>
    <row r="68" spans="1:36" ht="15.75" x14ac:dyDescent="0.25">
      <c r="A68" s="33" t="s">
        <v>201</v>
      </c>
      <c r="B68" s="34">
        <v>517</v>
      </c>
      <c r="C68" s="136"/>
      <c r="D68" s="35">
        <v>131</v>
      </c>
      <c r="E68" s="36" t="str">
        <f t="shared" si="10"/>
        <v/>
      </c>
      <c r="F68" s="37" t="str">
        <f t="shared" si="11"/>
        <v/>
      </c>
      <c r="G68" s="38">
        <f t="shared" si="0"/>
        <v>0</v>
      </c>
      <c r="H68" s="38">
        <f t="shared" si="0"/>
        <v>0</v>
      </c>
      <c r="I68" s="39">
        <v>72.290000000000006</v>
      </c>
      <c r="J68" s="40">
        <f t="shared" si="12"/>
        <v>0.55183206106870231</v>
      </c>
      <c r="K68" s="41">
        <v>22.25</v>
      </c>
      <c r="L68" s="42">
        <v>0.99199999999999999</v>
      </c>
      <c r="M68" s="39">
        <f t="shared" si="1"/>
        <v>72.290000000000006</v>
      </c>
      <c r="N68" s="40">
        <f t="shared" si="2"/>
        <v>0.55183206106870231</v>
      </c>
      <c r="O68" s="43"/>
      <c r="P68" s="44"/>
      <c r="Q68" s="45"/>
      <c r="R68" s="46"/>
      <c r="S68" s="47"/>
      <c r="T68" s="34">
        <f t="shared" si="3"/>
        <v>0</v>
      </c>
      <c r="U68" s="34">
        <f t="shared" si="4"/>
        <v>0</v>
      </c>
      <c r="V68" s="34">
        <f t="shared" si="5"/>
        <v>0</v>
      </c>
      <c r="W68" s="34">
        <f t="shared" si="6"/>
        <v>0</v>
      </c>
      <c r="X68" s="62" t="s">
        <v>71</v>
      </c>
      <c r="Y68" s="62" t="s">
        <v>38</v>
      </c>
      <c r="Z68" s="80" t="s">
        <v>47</v>
      </c>
      <c r="AA68" s="80" t="s">
        <v>194</v>
      </c>
      <c r="AB68" s="81" t="s">
        <v>195</v>
      </c>
      <c r="AC68" s="81" t="s">
        <v>202</v>
      </c>
      <c r="AD68" s="50">
        <f t="shared" si="7"/>
        <v>0.55183206106870231</v>
      </c>
      <c r="AE68" s="51">
        <f t="shared" si="8"/>
        <v>0</v>
      </c>
      <c r="AF68" s="51">
        <f t="shared" si="9"/>
        <v>0</v>
      </c>
      <c r="AG68" s="52">
        <v>645</v>
      </c>
      <c r="AH68" s="52">
        <v>517</v>
      </c>
      <c r="AI68" s="52">
        <v>1</v>
      </c>
      <c r="AJ68" s="53" t="s">
        <v>203</v>
      </c>
    </row>
    <row r="69" spans="1:36" ht="15.75" x14ac:dyDescent="0.25">
      <c r="A69" s="33" t="s">
        <v>204</v>
      </c>
      <c r="B69" s="34">
        <v>519</v>
      </c>
      <c r="C69" s="136"/>
      <c r="D69" s="35">
        <v>264</v>
      </c>
      <c r="E69" s="36" t="str">
        <f t="shared" si="10"/>
        <v/>
      </c>
      <c r="F69" s="37" t="str">
        <f t="shared" si="11"/>
        <v/>
      </c>
      <c r="G69" s="38">
        <f t="shared" si="0"/>
        <v>0</v>
      </c>
      <c r="H69" s="38">
        <f t="shared" si="0"/>
        <v>0</v>
      </c>
      <c r="I69" s="39">
        <v>156.69999999999999</v>
      </c>
      <c r="J69" s="40">
        <f t="shared" si="12"/>
        <v>0.59356060606060601</v>
      </c>
      <c r="K69" s="41">
        <v>11.58</v>
      </c>
      <c r="L69" s="42">
        <v>0.97099999999999997</v>
      </c>
      <c r="M69" s="39">
        <f t="shared" si="1"/>
        <v>156.69999999999999</v>
      </c>
      <c r="N69" s="40">
        <f t="shared" si="2"/>
        <v>0.59356060606060601</v>
      </c>
      <c r="O69" s="43"/>
      <c r="P69" s="44"/>
      <c r="Q69" s="45"/>
      <c r="R69" s="46"/>
      <c r="S69" s="47"/>
      <c r="T69" s="34">
        <f t="shared" ref="T69:T132" si="13">AK69</f>
        <v>0</v>
      </c>
      <c r="U69" s="34">
        <f t="shared" si="4"/>
        <v>0</v>
      </c>
      <c r="V69" s="34">
        <f t="shared" si="5"/>
        <v>0</v>
      </c>
      <c r="W69" s="34">
        <f t="shared" si="6"/>
        <v>0</v>
      </c>
      <c r="X69" s="62" t="s">
        <v>71</v>
      </c>
      <c r="Y69" s="62" t="s">
        <v>38</v>
      </c>
      <c r="Z69" s="80" t="s">
        <v>39</v>
      </c>
      <c r="AA69" s="80" t="s">
        <v>194</v>
      </c>
      <c r="AB69" s="81" t="s">
        <v>195</v>
      </c>
      <c r="AC69" s="81" t="s">
        <v>202</v>
      </c>
      <c r="AD69" s="50">
        <f t="shared" si="7"/>
        <v>0.59356060606060601</v>
      </c>
      <c r="AE69" s="51">
        <f t="shared" ref="AE69:AE132" si="14">IFERROR(+D69/VLOOKUP(AB69,$A$386:$E$428,3,FALSE),0)</f>
        <v>0</v>
      </c>
      <c r="AF69" s="51">
        <f t="shared" ref="AF69:AF132" si="15">IFERROR(+I69/VLOOKUP(AB69,$A$386:$E$428,5,FALSE),0)</f>
        <v>0</v>
      </c>
      <c r="AG69" s="52">
        <v>661</v>
      </c>
      <c r="AH69" s="52">
        <v>519</v>
      </c>
      <c r="AI69" s="52">
        <v>1</v>
      </c>
      <c r="AJ69" s="53" t="s">
        <v>205</v>
      </c>
    </row>
    <row r="70" spans="1:36" ht="15.75" x14ac:dyDescent="0.25">
      <c r="A70" s="33" t="s">
        <v>206</v>
      </c>
      <c r="B70" s="34">
        <v>518</v>
      </c>
      <c r="C70" s="136"/>
      <c r="D70" s="35">
        <v>331</v>
      </c>
      <c r="E70" s="36" t="str">
        <f t="shared" ref="E70:E133" si="16">IF(AS70="-",IF(AW70=0,"",AW70),"")</f>
        <v/>
      </c>
      <c r="F70" s="37" t="str">
        <f t="shared" ref="F70:F133" si="17">IF(AS70="-",AX70,"")</f>
        <v/>
      </c>
      <c r="G70" s="38">
        <f t="shared" ref="G70:H135" si="18">BD70</f>
        <v>0</v>
      </c>
      <c r="H70" s="38">
        <f t="shared" si="18"/>
        <v>0</v>
      </c>
      <c r="I70" s="39">
        <v>206.3</v>
      </c>
      <c r="J70" s="40">
        <f t="shared" si="12"/>
        <v>0.6232628398791541</v>
      </c>
      <c r="K70" s="41">
        <v>36.72</v>
      </c>
      <c r="L70" s="42">
        <v>0.97399999999999998</v>
      </c>
      <c r="M70" s="39">
        <f t="shared" ref="M70:M135" si="19">IF(O70&lt;&gt;"",ROUND(O70,0),IF(P70&lt;&gt;"",ROUND(P70*D70,0),I70))</f>
        <v>206.3</v>
      </c>
      <c r="N70" s="40">
        <f t="shared" ref="N70:N135" si="20">IF(M70&lt;&gt;"",+M70/$D70,"-")</f>
        <v>0.6232628398791541</v>
      </c>
      <c r="O70" s="43"/>
      <c r="P70" s="44"/>
      <c r="Q70" s="45"/>
      <c r="R70" s="46"/>
      <c r="S70" s="47"/>
      <c r="T70" s="34">
        <f t="shared" si="13"/>
        <v>0</v>
      </c>
      <c r="U70" s="34">
        <f t="shared" ref="U70:U135" si="21">AN70</f>
        <v>0</v>
      </c>
      <c r="V70" s="34">
        <f t="shared" ref="V70:V135" si="22">IF(AND(ISBLANK(O70),ISBLANK(P70),ISBLANK(Q70)),AP70,AO70)</f>
        <v>0</v>
      </c>
      <c r="W70" s="34">
        <f t="shared" ref="W70:W135" si="23">AM70</f>
        <v>0</v>
      </c>
      <c r="X70" s="62" t="s">
        <v>71</v>
      </c>
      <c r="Y70" s="62" t="s">
        <v>38</v>
      </c>
      <c r="Z70" s="80" t="s">
        <v>47</v>
      </c>
      <c r="AA70" s="80" t="s">
        <v>194</v>
      </c>
      <c r="AB70" s="81" t="s">
        <v>195</v>
      </c>
      <c r="AC70" s="81" t="s">
        <v>202</v>
      </c>
      <c r="AD70" s="50">
        <f t="shared" ref="AD70:AD135" si="24">(I70/D70)</f>
        <v>0.6232628398791541</v>
      </c>
      <c r="AE70" s="51">
        <f t="shared" si="14"/>
        <v>0</v>
      </c>
      <c r="AF70" s="51">
        <f t="shared" si="15"/>
        <v>0</v>
      </c>
      <c r="AG70" s="52">
        <v>652</v>
      </c>
      <c r="AH70" s="52">
        <v>518</v>
      </c>
      <c r="AI70" s="52">
        <v>1</v>
      </c>
      <c r="AJ70" s="53" t="s">
        <v>207</v>
      </c>
    </row>
    <row r="71" spans="1:36" ht="15.75" x14ac:dyDescent="0.25">
      <c r="A71" s="33" t="s">
        <v>208</v>
      </c>
      <c r="B71" s="34">
        <v>520</v>
      </c>
      <c r="C71" s="136" t="s">
        <v>894</v>
      </c>
      <c r="D71" s="35">
        <v>807</v>
      </c>
      <c r="E71" s="36" t="str">
        <f t="shared" si="16"/>
        <v/>
      </c>
      <c r="F71" s="37" t="str">
        <f t="shared" si="17"/>
        <v/>
      </c>
      <c r="G71" s="38">
        <f t="shared" si="18"/>
        <v>0</v>
      </c>
      <c r="H71" s="38">
        <f t="shared" si="18"/>
        <v>0</v>
      </c>
      <c r="I71" s="39">
        <v>320.2</v>
      </c>
      <c r="J71" s="40">
        <f t="shared" si="12"/>
        <v>0.39677819083023541</v>
      </c>
      <c r="K71" s="41">
        <v>-8.08</v>
      </c>
      <c r="L71" s="42">
        <v>1.01</v>
      </c>
      <c r="M71" s="39">
        <f t="shared" si="19"/>
        <v>320.2</v>
      </c>
      <c r="N71" s="40">
        <f t="shared" si="20"/>
        <v>0.39677819083023541</v>
      </c>
      <c r="O71" s="43"/>
      <c r="P71" s="44"/>
      <c r="Q71" s="45"/>
      <c r="R71" s="46"/>
      <c r="S71" s="47"/>
      <c r="T71" s="34">
        <f t="shared" si="13"/>
        <v>0</v>
      </c>
      <c r="U71" s="34">
        <f t="shared" si="21"/>
        <v>0</v>
      </c>
      <c r="V71" s="34">
        <f t="shared" si="22"/>
        <v>0</v>
      </c>
      <c r="W71" s="34">
        <f t="shared" si="23"/>
        <v>0</v>
      </c>
      <c r="X71" s="62" t="s">
        <v>71</v>
      </c>
      <c r="Y71" s="62" t="s">
        <v>38</v>
      </c>
      <c r="Z71" s="80" t="s">
        <v>39</v>
      </c>
      <c r="AA71" s="80" t="s">
        <v>194</v>
      </c>
      <c r="AB71" s="81" t="s">
        <v>195</v>
      </c>
      <c r="AC71" s="33" t="s">
        <v>72</v>
      </c>
      <c r="AD71" s="50">
        <f t="shared" si="24"/>
        <v>0.39677819083023541</v>
      </c>
      <c r="AE71" s="51">
        <f t="shared" si="14"/>
        <v>0</v>
      </c>
      <c r="AF71" s="51">
        <f t="shared" si="15"/>
        <v>0</v>
      </c>
      <c r="AG71" s="52">
        <v>542</v>
      </c>
      <c r="AH71" s="52">
        <v>520</v>
      </c>
      <c r="AI71" s="52">
        <v>1</v>
      </c>
      <c r="AJ71" s="53" t="s">
        <v>209</v>
      </c>
    </row>
    <row r="72" spans="1:36" ht="15.75" x14ac:dyDescent="0.25">
      <c r="A72" s="58" t="s">
        <v>210</v>
      </c>
      <c r="B72" s="59">
        <v>7451</v>
      </c>
      <c r="C72" s="137"/>
      <c r="D72" s="82">
        <v>70</v>
      </c>
      <c r="E72" s="36" t="str">
        <f t="shared" si="16"/>
        <v/>
      </c>
      <c r="F72" s="37" t="str">
        <f t="shared" si="17"/>
        <v/>
      </c>
      <c r="G72" s="38">
        <f t="shared" si="18"/>
        <v>0</v>
      </c>
      <c r="H72" s="38">
        <f t="shared" si="18"/>
        <v>0</v>
      </c>
      <c r="I72" s="64">
        <v>11</v>
      </c>
      <c r="J72" s="40">
        <f t="shared" ref="J72:J137" si="25">IF(I72&lt;&gt;"",+I72/$D72,"-")</f>
        <v>0.15714285714285714</v>
      </c>
      <c r="K72" s="66">
        <v>10.45</v>
      </c>
      <c r="L72" s="67">
        <v>0.98199999999999998</v>
      </c>
      <c r="M72" s="64">
        <f t="shared" si="19"/>
        <v>11</v>
      </c>
      <c r="N72" s="65">
        <f t="shared" si="20"/>
        <v>0.15714285714285714</v>
      </c>
      <c r="O72" s="68"/>
      <c r="P72" s="69"/>
      <c r="Q72" s="70"/>
      <c r="R72" s="71"/>
      <c r="S72" s="47"/>
      <c r="T72" s="59">
        <f t="shared" si="13"/>
        <v>0</v>
      </c>
      <c r="U72" s="59">
        <f t="shared" si="21"/>
        <v>0</v>
      </c>
      <c r="V72" s="59">
        <f t="shared" si="22"/>
        <v>0</v>
      </c>
      <c r="W72" s="59">
        <f t="shared" si="23"/>
        <v>0</v>
      </c>
      <c r="X72" s="72" t="s">
        <v>71</v>
      </c>
      <c r="Y72" s="72" t="s">
        <v>38</v>
      </c>
      <c r="Z72" s="83" t="s">
        <v>39</v>
      </c>
      <c r="AA72" s="83" t="s">
        <v>211</v>
      </c>
      <c r="AB72" s="84" t="s">
        <v>211</v>
      </c>
      <c r="AC72" s="84"/>
      <c r="AD72" s="74">
        <f t="shared" si="24"/>
        <v>0.15714285714285714</v>
      </c>
      <c r="AE72" s="75">
        <f t="shared" si="14"/>
        <v>0</v>
      </c>
      <c r="AF72" s="75">
        <f t="shared" si="15"/>
        <v>0</v>
      </c>
      <c r="AG72" s="76">
        <v>481</v>
      </c>
      <c r="AH72" s="76">
        <v>7451</v>
      </c>
      <c r="AI72" s="76">
        <v>1</v>
      </c>
      <c r="AJ72" s="77" t="s">
        <v>212</v>
      </c>
    </row>
    <row r="73" spans="1:36" ht="15.75" x14ac:dyDescent="0.25">
      <c r="A73" s="58" t="s">
        <v>210</v>
      </c>
      <c r="B73" s="59">
        <v>7452</v>
      </c>
      <c r="C73" s="137"/>
      <c r="D73" s="82">
        <v>124</v>
      </c>
      <c r="E73" s="36" t="str">
        <f t="shared" si="16"/>
        <v/>
      </c>
      <c r="F73" s="37" t="str">
        <f t="shared" si="17"/>
        <v/>
      </c>
      <c r="G73" s="38">
        <f t="shared" si="18"/>
        <v>0</v>
      </c>
      <c r="H73" s="38">
        <f t="shared" si="18"/>
        <v>0</v>
      </c>
      <c r="I73" s="64">
        <v>19</v>
      </c>
      <c r="J73" s="40">
        <f t="shared" si="25"/>
        <v>0.15322580645161291</v>
      </c>
      <c r="K73" s="66">
        <v>12.29</v>
      </c>
      <c r="L73" s="67">
        <v>0.97199999999999998</v>
      </c>
      <c r="M73" s="64">
        <f t="shared" si="19"/>
        <v>19</v>
      </c>
      <c r="N73" s="65">
        <f t="shared" si="20"/>
        <v>0.15322580645161291</v>
      </c>
      <c r="O73" s="68"/>
      <c r="P73" s="69"/>
      <c r="Q73" s="70"/>
      <c r="R73" s="71"/>
      <c r="S73" s="47"/>
      <c r="T73" s="59">
        <f t="shared" si="13"/>
        <v>0</v>
      </c>
      <c r="U73" s="59">
        <f t="shared" si="21"/>
        <v>0</v>
      </c>
      <c r="V73" s="59">
        <f t="shared" si="22"/>
        <v>0</v>
      </c>
      <c r="W73" s="59">
        <f t="shared" si="23"/>
        <v>0</v>
      </c>
      <c r="X73" s="72" t="s">
        <v>71</v>
      </c>
      <c r="Y73" s="72" t="s">
        <v>38</v>
      </c>
      <c r="Z73" s="83" t="s">
        <v>39</v>
      </c>
      <c r="AA73" s="83" t="s">
        <v>211</v>
      </c>
      <c r="AB73" s="84" t="s">
        <v>211</v>
      </c>
      <c r="AC73" s="84"/>
      <c r="AD73" s="74">
        <f t="shared" si="24"/>
        <v>0.15322580645161291</v>
      </c>
      <c r="AE73" s="75">
        <f t="shared" si="14"/>
        <v>0</v>
      </c>
      <c r="AF73" s="75">
        <f t="shared" si="15"/>
        <v>0</v>
      </c>
      <c r="AG73" s="76">
        <v>481</v>
      </c>
      <c r="AH73" s="76">
        <v>7452</v>
      </c>
      <c r="AI73" s="76">
        <v>1</v>
      </c>
      <c r="AJ73" s="77" t="s">
        <v>213</v>
      </c>
    </row>
    <row r="74" spans="1:36" ht="15.75" x14ac:dyDescent="0.25">
      <c r="A74" s="58" t="s">
        <v>210</v>
      </c>
      <c r="B74" s="59">
        <v>7453</v>
      </c>
      <c r="C74" s="137"/>
      <c r="D74" s="82">
        <v>192</v>
      </c>
      <c r="E74" s="36" t="str">
        <f t="shared" si="16"/>
        <v/>
      </c>
      <c r="F74" s="37" t="str">
        <f t="shared" si="17"/>
        <v/>
      </c>
      <c r="G74" s="38">
        <f t="shared" si="18"/>
        <v>0</v>
      </c>
      <c r="H74" s="38">
        <f t="shared" si="18"/>
        <v>0</v>
      </c>
      <c r="I74" s="64">
        <v>29</v>
      </c>
      <c r="J74" s="40">
        <f t="shared" si="25"/>
        <v>0.15104166666666666</v>
      </c>
      <c r="K74" s="66">
        <v>11.97</v>
      </c>
      <c r="L74" s="67">
        <v>0.97099999999999997</v>
      </c>
      <c r="M74" s="64">
        <f t="shared" si="19"/>
        <v>29</v>
      </c>
      <c r="N74" s="65">
        <f t="shared" si="20"/>
        <v>0.15104166666666666</v>
      </c>
      <c r="O74" s="68"/>
      <c r="P74" s="69"/>
      <c r="Q74" s="70"/>
      <c r="R74" s="71"/>
      <c r="S74" s="47"/>
      <c r="T74" s="59">
        <f t="shared" si="13"/>
        <v>0</v>
      </c>
      <c r="U74" s="59">
        <f t="shared" si="21"/>
        <v>0</v>
      </c>
      <c r="V74" s="59">
        <f t="shared" si="22"/>
        <v>0</v>
      </c>
      <c r="W74" s="59">
        <f t="shared" si="23"/>
        <v>0</v>
      </c>
      <c r="X74" s="72" t="s">
        <v>71</v>
      </c>
      <c r="Y74" s="72" t="s">
        <v>38</v>
      </c>
      <c r="Z74" s="83" t="s">
        <v>39</v>
      </c>
      <c r="AA74" s="83" t="s">
        <v>211</v>
      </c>
      <c r="AB74" s="84" t="s">
        <v>211</v>
      </c>
      <c r="AC74" s="84"/>
      <c r="AD74" s="74">
        <f t="shared" si="24"/>
        <v>0.15104166666666666</v>
      </c>
      <c r="AE74" s="75">
        <f t="shared" si="14"/>
        <v>0</v>
      </c>
      <c r="AF74" s="75">
        <f t="shared" si="15"/>
        <v>0</v>
      </c>
      <c r="AG74" s="76">
        <v>482</v>
      </c>
      <c r="AH74" s="76">
        <v>7453</v>
      </c>
      <c r="AI74" s="76">
        <v>1</v>
      </c>
      <c r="AJ74" s="77" t="s">
        <v>214</v>
      </c>
    </row>
    <row r="75" spans="1:36" ht="15.75" x14ac:dyDescent="0.25">
      <c r="A75" s="58" t="s">
        <v>210</v>
      </c>
      <c r="B75" s="59">
        <v>7454</v>
      </c>
      <c r="C75" s="137"/>
      <c r="D75" s="82">
        <v>62</v>
      </c>
      <c r="E75" s="36" t="str">
        <f t="shared" si="16"/>
        <v/>
      </c>
      <c r="F75" s="37" t="str">
        <f t="shared" si="17"/>
        <v/>
      </c>
      <c r="G75" s="38">
        <f t="shared" si="18"/>
        <v>0</v>
      </c>
      <c r="H75" s="38">
        <f t="shared" si="18"/>
        <v>0</v>
      </c>
      <c r="I75" s="64">
        <v>16</v>
      </c>
      <c r="J75" s="40">
        <f t="shared" si="25"/>
        <v>0.25806451612903225</v>
      </c>
      <c r="K75" s="66">
        <v>-13.5</v>
      </c>
      <c r="L75" s="67">
        <v>1.02</v>
      </c>
      <c r="M75" s="64">
        <f t="shared" si="19"/>
        <v>16</v>
      </c>
      <c r="N75" s="65">
        <f t="shared" si="20"/>
        <v>0.25806451612903225</v>
      </c>
      <c r="O75" s="68"/>
      <c r="P75" s="69"/>
      <c r="Q75" s="70"/>
      <c r="R75" s="71"/>
      <c r="S75" s="47"/>
      <c r="T75" s="59">
        <f t="shared" si="13"/>
        <v>0</v>
      </c>
      <c r="U75" s="59">
        <f t="shared" si="21"/>
        <v>0</v>
      </c>
      <c r="V75" s="59">
        <f t="shared" si="22"/>
        <v>0</v>
      </c>
      <c r="W75" s="59">
        <f t="shared" si="23"/>
        <v>0</v>
      </c>
      <c r="X75" s="72" t="s">
        <v>71</v>
      </c>
      <c r="Y75" s="72" t="s">
        <v>38</v>
      </c>
      <c r="Z75" s="83" t="s">
        <v>39</v>
      </c>
      <c r="AA75" s="83" t="s">
        <v>211</v>
      </c>
      <c r="AB75" s="84" t="s">
        <v>211</v>
      </c>
      <c r="AC75" s="84"/>
      <c r="AD75" s="74">
        <f t="shared" si="24"/>
        <v>0.25806451612903225</v>
      </c>
      <c r="AE75" s="75">
        <f t="shared" si="14"/>
        <v>0</v>
      </c>
      <c r="AF75" s="75">
        <f t="shared" si="15"/>
        <v>0</v>
      </c>
      <c r="AG75" s="76">
        <v>7454</v>
      </c>
      <c r="AH75" s="76">
        <v>41825</v>
      </c>
      <c r="AI75" s="76">
        <v>1</v>
      </c>
      <c r="AJ75" s="77" t="s">
        <v>215</v>
      </c>
    </row>
    <row r="76" spans="1:36" ht="15.75" x14ac:dyDescent="0.25">
      <c r="A76" s="58" t="s">
        <v>210</v>
      </c>
      <c r="B76" s="59">
        <v>7458</v>
      </c>
      <c r="C76" s="137"/>
      <c r="D76" s="82">
        <v>280</v>
      </c>
      <c r="E76" s="36" t="str">
        <f t="shared" si="16"/>
        <v/>
      </c>
      <c r="F76" s="37" t="str">
        <f t="shared" si="17"/>
        <v/>
      </c>
      <c r="G76" s="38">
        <f t="shared" si="18"/>
        <v>0</v>
      </c>
      <c r="H76" s="38">
        <f t="shared" si="18"/>
        <v>0</v>
      </c>
      <c r="I76" s="64">
        <v>28</v>
      </c>
      <c r="J76" s="40">
        <f t="shared" si="25"/>
        <v>0.1</v>
      </c>
      <c r="K76" s="66">
        <v>20.45</v>
      </c>
      <c r="L76" s="67">
        <v>0.98199999999999998</v>
      </c>
      <c r="M76" s="64">
        <f t="shared" si="19"/>
        <v>28</v>
      </c>
      <c r="N76" s="65">
        <f t="shared" si="20"/>
        <v>0.1</v>
      </c>
      <c r="O76" s="68"/>
      <c r="P76" s="69"/>
      <c r="Q76" s="70"/>
      <c r="R76" s="71"/>
      <c r="S76" s="47"/>
      <c r="T76" s="59">
        <f t="shared" si="13"/>
        <v>0</v>
      </c>
      <c r="U76" s="59">
        <f t="shared" si="21"/>
        <v>0</v>
      </c>
      <c r="V76" s="59">
        <f t="shared" si="22"/>
        <v>0</v>
      </c>
      <c r="W76" s="59">
        <f t="shared" si="23"/>
        <v>0</v>
      </c>
      <c r="X76" s="72" t="s">
        <v>71</v>
      </c>
      <c r="Y76" s="72" t="s">
        <v>38</v>
      </c>
      <c r="Z76" s="83" t="s">
        <v>39</v>
      </c>
      <c r="AA76" s="83" t="s">
        <v>211</v>
      </c>
      <c r="AB76" s="84" t="s">
        <v>211</v>
      </c>
      <c r="AC76" s="84"/>
      <c r="AD76" s="74">
        <f t="shared" si="24"/>
        <v>0.1</v>
      </c>
      <c r="AE76" s="75">
        <f t="shared" si="14"/>
        <v>0</v>
      </c>
      <c r="AF76" s="75">
        <f t="shared" si="15"/>
        <v>0</v>
      </c>
      <c r="AG76" s="76">
        <v>480</v>
      </c>
      <c r="AH76" s="76">
        <v>7458</v>
      </c>
      <c r="AI76" s="76">
        <v>1</v>
      </c>
      <c r="AJ76" s="77" t="s">
        <v>216</v>
      </c>
    </row>
    <row r="77" spans="1:36" ht="15.75" x14ac:dyDescent="0.25">
      <c r="A77" s="58" t="s">
        <v>210</v>
      </c>
      <c r="B77" s="59">
        <v>7459</v>
      </c>
      <c r="C77" s="137"/>
      <c r="D77" s="82">
        <v>140</v>
      </c>
      <c r="E77" s="36" t="str">
        <f t="shared" si="16"/>
        <v/>
      </c>
      <c r="F77" s="37" t="str">
        <f t="shared" si="17"/>
        <v/>
      </c>
      <c r="G77" s="38">
        <f t="shared" si="18"/>
        <v>0</v>
      </c>
      <c r="H77" s="38">
        <f t="shared" si="18"/>
        <v>0</v>
      </c>
      <c r="I77" s="64">
        <v>21</v>
      </c>
      <c r="J77" s="40">
        <f t="shared" si="25"/>
        <v>0.15</v>
      </c>
      <c r="K77" s="66">
        <v>20.69</v>
      </c>
      <c r="L77" s="67">
        <v>0.98299999999999998</v>
      </c>
      <c r="M77" s="64">
        <f t="shared" si="19"/>
        <v>21</v>
      </c>
      <c r="N77" s="65">
        <f t="shared" si="20"/>
        <v>0.15</v>
      </c>
      <c r="O77" s="68"/>
      <c r="P77" s="69"/>
      <c r="Q77" s="70"/>
      <c r="R77" s="71"/>
      <c r="S77" s="47"/>
      <c r="T77" s="59">
        <f t="shared" si="13"/>
        <v>0</v>
      </c>
      <c r="U77" s="59">
        <f t="shared" si="21"/>
        <v>0</v>
      </c>
      <c r="V77" s="59">
        <f t="shared" si="22"/>
        <v>0</v>
      </c>
      <c r="W77" s="59">
        <f t="shared" si="23"/>
        <v>0</v>
      </c>
      <c r="X77" s="72" t="s">
        <v>71</v>
      </c>
      <c r="Y77" s="72" t="s">
        <v>38</v>
      </c>
      <c r="Z77" s="83" t="s">
        <v>39</v>
      </c>
      <c r="AA77" s="83" t="s">
        <v>211</v>
      </c>
      <c r="AB77" s="84" t="s">
        <v>211</v>
      </c>
      <c r="AC77" s="84"/>
      <c r="AD77" s="74">
        <f t="shared" si="24"/>
        <v>0.15</v>
      </c>
      <c r="AE77" s="75">
        <f t="shared" si="14"/>
        <v>0</v>
      </c>
      <c r="AF77" s="75">
        <f t="shared" si="15"/>
        <v>0</v>
      </c>
      <c r="AG77" s="76">
        <v>480</v>
      </c>
      <c r="AH77" s="76">
        <v>7459</v>
      </c>
      <c r="AI77" s="76">
        <v>1</v>
      </c>
      <c r="AJ77" s="77" t="s">
        <v>217</v>
      </c>
    </row>
    <row r="78" spans="1:36" ht="15.75" x14ac:dyDescent="0.25">
      <c r="A78" s="33" t="s">
        <v>218</v>
      </c>
      <c r="B78" s="34">
        <v>525</v>
      </c>
      <c r="C78" s="136"/>
      <c r="D78" s="35">
        <v>25</v>
      </c>
      <c r="E78" s="36" t="str">
        <f t="shared" si="16"/>
        <v/>
      </c>
      <c r="F78" s="37" t="str">
        <f t="shared" si="17"/>
        <v/>
      </c>
      <c r="G78" s="38">
        <f t="shared" si="18"/>
        <v>0</v>
      </c>
      <c r="H78" s="38">
        <f t="shared" si="18"/>
        <v>0</v>
      </c>
      <c r="I78" s="39">
        <v>3</v>
      </c>
      <c r="J78" s="40">
        <f t="shared" si="25"/>
        <v>0.12</v>
      </c>
      <c r="K78" s="41">
        <v>1.4710000000000001</v>
      </c>
      <c r="L78" s="42">
        <v>1</v>
      </c>
      <c r="M78" s="39">
        <f t="shared" si="19"/>
        <v>3</v>
      </c>
      <c r="N78" s="40">
        <f t="shared" si="20"/>
        <v>0.12</v>
      </c>
      <c r="O78" s="43"/>
      <c r="P78" s="44"/>
      <c r="Q78" s="45"/>
      <c r="R78" s="46"/>
      <c r="S78" s="47"/>
      <c r="T78" s="34">
        <f t="shared" si="13"/>
        <v>0</v>
      </c>
      <c r="U78" s="34">
        <f t="shared" si="21"/>
        <v>0</v>
      </c>
      <c r="V78" s="34">
        <f t="shared" si="22"/>
        <v>0</v>
      </c>
      <c r="W78" s="34">
        <f t="shared" si="23"/>
        <v>0</v>
      </c>
      <c r="X78" s="62" t="s">
        <v>71</v>
      </c>
      <c r="Y78" s="62" t="s">
        <v>38</v>
      </c>
      <c r="Z78" s="49" t="s">
        <v>39</v>
      </c>
      <c r="AA78" s="49" t="s">
        <v>219</v>
      </c>
      <c r="AB78" s="33" t="s">
        <v>220</v>
      </c>
      <c r="AC78" s="33" t="s">
        <v>221</v>
      </c>
      <c r="AD78" s="50">
        <f t="shared" si="24"/>
        <v>0.12</v>
      </c>
      <c r="AE78" s="51">
        <f t="shared" si="14"/>
        <v>0</v>
      </c>
      <c r="AF78" s="51">
        <f t="shared" si="15"/>
        <v>0</v>
      </c>
      <c r="AG78" s="52">
        <v>720</v>
      </c>
      <c r="AH78" s="52">
        <v>525</v>
      </c>
      <c r="AI78" s="52">
        <v>1</v>
      </c>
      <c r="AJ78" s="53" t="s">
        <v>222</v>
      </c>
    </row>
    <row r="79" spans="1:36" ht="15.75" x14ac:dyDescent="0.25">
      <c r="A79" s="33" t="s">
        <v>223</v>
      </c>
      <c r="B79" s="34">
        <v>526</v>
      </c>
      <c r="C79" s="136"/>
      <c r="D79" s="35">
        <v>86</v>
      </c>
      <c r="E79" s="36" t="str">
        <f t="shared" si="16"/>
        <v/>
      </c>
      <c r="F79" s="37" t="str">
        <f t="shared" si="17"/>
        <v/>
      </c>
      <c r="G79" s="38">
        <f t="shared" si="18"/>
        <v>0</v>
      </c>
      <c r="H79" s="38">
        <f t="shared" si="18"/>
        <v>0</v>
      </c>
      <c r="I79" s="39">
        <v>33.21</v>
      </c>
      <c r="J79" s="40">
        <f t="shared" si="25"/>
        <v>0.38616279069767445</v>
      </c>
      <c r="K79" s="41">
        <v>16.88</v>
      </c>
      <c r="L79" s="42">
        <v>1.03</v>
      </c>
      <c r="M79" s="39">
        <f t="shared" si="19"/>
        <v>33.21</v>
      </c>
      <c r="N79" s="40">
        <f t="shared" si="20"/>
        <v>0.38616279069767445</v>
      </c>
      <c r="O79" s="43"/>
      <c r="P79" s="44"/>
      <c r="Q79" s="45"/>
      <c r="R79" s="46"/>
      <c r="S79" s="47"/>
      <c r="T79" s="34">
        <f t="shared" si="13"/>
        <v>0</v>
      </c>
      <c r="U79" s="34">
        <f t="shared" si="21"/>
        <v>0</v>
      </c>
      <c r="V79" s="34">
        <f t="shared" si="22"/>
        <v>0</v>
      </c>
      <c r="W79" s="34">
        <f t="shared" si="23"/>
        <v>0</v>
      </c>
      <c r="X79" s="62" t="s">
        <v>71</v>
      </c>
      <c r="Y79" s="62" t="s">
        <v>38</v>
      </c>
      <c r="Z79" s="49" t="s">
        <v>39</v>
      </c>
      <c r="AA79" s="49" t="s">
        <v>224</v>
      </c>
      <c r="AB79" s="33" t="s">
        <v>220</v>
      </c>
      <c r="AC79" s="33" t="s">
        <v>221</v>
      </c>
      <c r="AD79" s="50">
        <f t="shared" si="24"/>
        <v>0.38616279069767445</v>
      </c>
      <c r="AE79" s="51">
        <f t="shared" si="14"/>
        <v>0</v>
      </c>
      <c r="AF79" s="51">
        <f t="shared" si="15"/>
        <v>0</v>
      </c>
      <c r="AG79" s="52">
        <v>718</v>
      </c>
      <c r="AH79" s="52">
        <v>526</v>
      </c>
      <c r="AI79" s="52">
        <v>1</v>
      </c>
      <c r="AJ79" s="53" t="s">
        <v>225</v>
      </c>
    </row>
    <row r="80" spans="1:36" ht="15.75" x14ac:dyDescent="0.25">
      <c r="A80" s="33" t="s">
        <v>226</v>
      </c>
      <c r="B80" s="34">
        <v>296</v>
      </c>
      <c r="C80" s="136"/>
      <c r="D80" s="35">
        <v>56</v>
      </c>
      <c r="E80" s="36" t="str">
        <f t="shared" si="16"/>
        <v/>
      </c>
      <c r="F80" s="37" t="str">
        <f t="shared" si="17"/>
        <v/>
      </c>
      <c r="G80" s="38">
        <f t="shared" si="18"/>
        <v>0</v>
      </c>
      <c r="H80" s="38">
        <f t="shared" si="18"/>
        <v>0</v>
      </c>
      <c r="I80" s="39">
        <v>18.23</v>
      </c>
      <c r="J80" s="40">
        <f t="shared" si="25"/>
        <v>0.32553571428571432</v>
      </c>
      <c r="K80" s="41">
        <v>2.66</v>
      </c>
      <c r="L80" s="42">
        <v>1</v>
      </c>
      <c r="M80" s="39">
        <f t="shared" si="19"/>
        <v>18.23</v>
      </c>
      <c r="N80" s="40">
        <f t="shared" si="20"/>
        <v>0.32553571428571432</v>
      </c>
      <c r="O80" s="43"/>
      <c r="P80" s="44"/>
      <c r="Q80" s="45"/>
      <c r="R80" s="46"/>
      <c r="S80" s="47"/>
      <c r="T80" s="34">
        <f t="shared" si="13"/>
        <v>0</v>
      </c>
      <c r="U80" s="34">
        <f t="shared" si="21"/>
        <v>0</v>
      </c>
      <c r="V80" s="34">
        <f t="shared" si="22"/>
        <v>0</v>
      </c>
      <c r="W80" s="34">
        <f t="shared" si="23"/>
        <v>0</v>
      </c>
      <c r="X80" s="62" t="s">
        <v>71</v>
      </c>
      <c r="Y80" s="62" t="s">
        <v>38</v>
      </c>
      <c r="Z80" s="49" t="s">
        <v>39</v>
      </c>
      <c r="AA80" s="49" t="s">
        <v>224</v>
      </c>
      <c r="AB80" s="33" t="s">
        <v>220</v>
      </c>
      <c r="AC80" s="33" t="s">
        <v>221</v>
      </c>
      <c r="AD80" s="50">
        <f t="shared" si="24"/>
        <v>0.32553571428571432</v>
      </c>
      <c r="AE80" s="51">
        <f t="shared" si="14"/>
        <v>0</v>
      </c>
      <c r="AF80" s="51">
        <f t="shared" si="15"/>
        <v>0</v>
      </c>
      <c r="AG80" s="52">
        <v>297</v>
      </c>
      <c r="AH80" s="52">
        <v>296</v>
      </c>
      <c r="AI80" s="52">
        <v>1</v>
      </c>
      <c r="AJ80" s="53" t="s">
        <v>227</v>
      </c>
    </row>
    <row r="81" spans="1:36" ht="15.75" hidden="1" x14ac:dyDescent="0.25">
      <c r="A81" s="33" t="s">
        <v>228</v>
      </c>
      <c r="B81" s="34">
        <v>14</v>
      </c>
      <c r="C81" s="34"/>
      <c r="D81" s="85">
        <v>222</v>
      </c>
      <c r="E81" s="36" t="str">
        <f t="shared" si="16"/>
        <v/>
      </c>
      <c r="F81" s="37" t="str">
        <f t="shared" si="17"/>
        <v/>
      </c>
      <c r="G81" s="38">
        <f t="shared" si="18"/>
        <v>0</v>
      </c>
      <c r="H81" s="38">
        <f t="shared" si="18"/>
        <v>0</v>
      </c>
      <c r="I81" s="39">
        <v>104.5</v>
      </c>
      <c r="J81" s="40">
        <f t="shared" si="25"/>
        <v>0.47072072072072074</v>
      </c>
      <c r="K81" s="41">
        <v>-9.5500000000000007</v>
      </c>
      <c r="L81" s="42">
        <v>0.99399999999999999</v>
      </c>
      <c r="M81" s="39">
        <f t="shared" si="19"/>
        <v>104.5</v>
      </c>
      <c r="N81" s="40">
        <f t="shared" si="20"/>
        <v>0.47072072072072074</v>
      </c>
      <c r="O81" s="43"/>
      <c r="P81" s="44"/>
      <c r="Q81" s="45"/>
      <c r="R81" s="46"/>
      <c r="S81" s="47"/>
      <c r="T81" s="34">
        <f t="shared" si="13"/>
        <v>0</v>
      </c>
      <c r="U81" s="34">
        <f t="shared" si="21"/>
        <v>0</v>
      </c>
      <c r="V81" s="34">
        <f t="shared" si="22"/>
        <v>0</v>
      </c>
      <c r="W81" s="34">
        <f t="shared" si="23"/>
        <v>0</v>
      </c>
      <c r="X81" s="62" t="s">
        <v>229</v>
      </c>
      <c r="Y81" s="62" t="s">
        <v>38</v>
      </c>
      <c r="Z81" s="49" t="s">
        <v>39</v>
      </c>
      <c r="AA81" s="49" t="s">
        <v>224</v>
      </c>
      <c r="AB81" s="33" t="s">
        <v>220</v>
      </c>
      <c r="AC81" s="33"/>
      <c r="AD81" s="50">
        <f t="shared" si="24"/>
        <v>0.47072072072072074</v>
      </c>
      <c r="AE81" s="51">
        <f t="shared" si="14"/>
        <v>0</v>
      </c>
      <c r="AF81" s="51">
        <f t="shared" si="15"/>
        <v>0</v>
      </c>
      <c r="AG81" s="52">
        <v>182</v>
      </c>
      <c r="AH81" s="52">
        <v>14</v>
      </c>
      <c r="AI81" s="52">
        <v>1</v>
      </c>
      <c r="AJ81" s="53" t="s">
        <v>230</v>
      </c>
    </row>
    <row r="82" spans="1:36" ht="15.75" hidden="1" x14ac:dyDescent="0.25">
      <c r="A82" s="33" t="s">
        <v>231</v>
      </c>
      <c r="B82" s="34">
        <v>9500</v>
      </c>
      <c r="C82" s="34"/>
      <c r="D82" s="85">
        <v>305</v>
      </c>
      <c r="E82" s="36" t="str">
        <f t="shared" si="16"/>
        <v/>
      </c>
      <c r="F82" s="37" t="str">
        <f t="shared" si="17"/>
        <v/>
      </c>
      <c r="G82" s="38">
        <f t="shared" si="18"/>
        <v>0</v>
      </c>
      <c r="H82" s="38">
        <f t="shared" si="18"/>
        <v>0</v>
      </c>
      <c r="I82" s="78">
        <v>82.13</v>
      </c>
      <c r="J82" s="40">
        <f t="shared" si="25"/>
        <v>0.26927868852459014</v>
      </c>
      <c r="K82" s="41">
        <v>-24.9</v>
      </c>
      <c r="L82" s="42">
        <v>0.98899999999999999</v>
      </c>
      <c r="M82" s="39">
        <f t="shared" si="19"/>
        <v>82.13</v>
      </c>
      <c r="N82" s="40">
        <f t="shared" si="20"/>
        <v>0.26927868852459014</v>
      </c>
      <c r="O82" s="43"/>
      <c r="P82" s="44"/>
      <c r="Q82" s="45"/>
      <c r="R82" s="46"/>
      <c r="S82" s="47"/>
      <c r="T82" s="34">
        <f t="shared" si="13"/>
        <v>0</v>
      </c>
      <c r="U82" s="34">
        <f t="shared" si="21"/>
        <v>0</v>
      </c>
      <c r="V82" s="34">
        <f t="shared" si="22"/>
        <v>0</v>
      </c>
      <c r="W82" s="34">
        <f t="shared" si="23"/>
        <v>0</v>
      </c>
      <c r="X82" s="62" t="s">
        <v>232</v>
      </c>
      <c r="Y82" s="62" t="s">
        <v>38</v>
      </c>
      <c r="Z82" s="49" t="s">
        <v>47</v>
      </c>
      <c r="AA82" s="49" t="s">
        <v>224</v>
      </c>
      <c r="AB82" s="33" t="s">
        <v>220</v>
      </c>
      <c r="AC82" s="33"/>
      <c r="AD82" s="50">
        <f t="shared" si="24"/>
        <v>0.26927868852459014</v>
      </c>
      <c r="AE82" s="51">
        <f t="shared" si="14"/>
        <v>0</v>
      </c>
      <c r="AF82" s="51">
        <f t="shared" si="15"/>
        <v>0</v>
      </c>
      <c r="AG82" s="52">
        <v>9500</v>
      </c>
      <c r="AH82" s="52">
        <v>9501</v>
      </c>
      <c r="AI82" s="52">
        <v>1</v>
      </c>
      <c r="AJ82" s="53" t="s">
        <v>233</v>
      </c>
    </row>
    <row r="83" spans="1:36" ht="15.75" hidden="1" x14ac:dyDescent="0.25">
      <c r="A83" s="33" t="s">
        <v>234</v>
      </c>
      <c r="B83" s="34">
        <v>257</v>
      </c>
      <c r="C83" s="34"/>
      <c r="D83" s="35">
        <v>180</v>
      </c>
      <c r="E83" s="36" t="str">
        <f t="shared" si="16"/>
        <v/>
      </c>
      <c r="F83" s="37" t="str">
        <f t="shared" si="17"/>
        <v/>
      </c>
      <c r="G83" s="38">
        <f t="shared" si="18"/>
        <v>0</v>
      </c>
      <c r="H83" s="38">
        <f t="shared" si="18"/>
        <v>0</v>
      </c>
      <c r="I83" s="39">
        <v>48.76</v>
      </c>
      <c r="J83" s="40">
        <f t="shared" si="25"/>
        <v>0.2708888888888889</v>
      </c>
      <c r="K83" s="41">
        <v>14.67</v>
      </c>
      <c r="L83" s="42">
        <v>0.97</v>
      </c>
      <c r="M83" s="39">
        <f t="shared" si="19"/>
        <v>48.76</v>
      </c>
      <c r="N83" s="40">
        <f t="shared" si="20"/>
        <v>0.2708888888888889</v>
      </c>
      <c r="O83" s="43"/>
      <c r="P83" s="44"/>
      <c r="Q83" s="45"/>
      <c r="R83" s="46"/>
      <c r="S83" s="47"/>
      <c r="T83" s="34">
        <f t="shared" si="13"/>
        <v>0</v>
      </c>
      <c r="U83" s="34">
        <f t="shared" si="21"/>
        <v>0</v>
      </c>
      <c r="V83" s="34">
        <f t="shared" si="22"/>
        <v>0</v>
      </c>
      <c r="W83" s="34">
        <f t="shared" si="23"/>
        <v>0</v>
      </c>
      <c r="X83" s="62" t="s">
        <v>232</v>
      </c>
      <c r="Y83" s="62" t="s">
        <v>38</v>
      </c>
      <c r="Z83" s="49" t="s">
        <v>47</v>
      </c>
      <c r="AA83" s="49" t="s">
        <v>224</v>
      </c>
      <c r="AB83" s="33" t="s">
        <v>220</v>
      </c>
      <c r="AC83" s="33"/>
      <c r="AD83" s="50">
        <f t="shared" si="24"/>
        <v>0.2708888888888889</v>
      </c>
      <c r="AE83" s="51">
        <f t="shared" si="14"/>
        <v>0</v>
      </c>
      <c r="AF83" s="51">
        <f t="shared" si="15"/>
        <v>0</v>
      </c>
      <c r="AG83" s="52">
        <v>258</v>
      </c>
      <c r="AH83" s="52">
        <v>257</v>
      </c>
      <c r="AI83" s="52">
        <v>1</v>
      </c>
      <c r="AJ83" s="53" t="s">
        <v>235</v>
      </c>
    </row>
    <row r="84" spans="1:36" ht="15.75" hidden="1" x14ac:dyDescent="0.25">
      <c r="A84" s="33" t="s">
        <v>236</v>
      </c>
      <c r="B84" s="34">
        <v>3337</v>
      </c>
      <c r="C84" s="34"/>
      <c r="D84" s="35">
        <v>39</v>
      </c>
      <c r="E84" s="36" t="str">
        <f t="shared" si="16"/>
        <v/>
      </c>
      <c r="F84" s="37" t="str">
        <f t="shared" si="17"/>
        <v/>
      </c>
      <c r="G84" s="38">
        <f t="shared" si="18"/>
        <v>0</v>
      </c>
      <c r="H84" s="38">
        <f t="shared" si="18"/>
        <v>0</v>
      </c>
      <c r="I84" s="39">
        <v>0</v>
      </c>
      <c r="J84" s="40">
        <f t="shared" si="25"/>
        <v>0</v>
      </c>
      <c r="K84" s="41">
        <v>0</v>
      </c>
      <c r="L84" s="42">
        <v>1.01</v>
      </c>
      <c r="M84" s="39">
        <f t="shared" si="19"/>
        <v>0</v>
      </c>
      <c r="N84" s="40">
        <f t="shared" si="20"/>
        <v>0</v>
      </c>
      <c r="O84" s="43"/>
      <c r="P84" s="44"/>
      <c r="Q84" s="45"/>
      <c r="R84" s="46"/>
      <c r="S84" s="47"/>
      <c r="T84" s="34">
        <f t="shared" si="13"/>
        <v>0</v>
      </c>
      <c r="U84" s="34">
        <f t="shared" si="21"/>
        <v>0</v>
      </c>
      <c r="V84" s="34">
        <f t="shared" si="22"/>
        <v>0</v>
      </c>
      <c r="W84" s="34">
        <f t="shared" si="23"/>
        <v>0</v>
      </c>
      <c r="X84" s="62" t="s">
        <v>37</v>
      </c>
      <c r="Y84" s="62" t="s">
        <v>38</v>
      </c>
      <c r="Z84" s="49" t="s">
        <v>47</v>
      </c>
      <c r="AA84" s="49" t="s">
        <v>237</v>
      </c>
      <c r="AB84" s="33" t="s">
        <v>220</v>
      </c>
      <c r="AC84" s="33"/>
      <c r="AD84" s="50">
        <f t="shared" si="24"/>
        <v>0</v>
      </c>
      <c r="AE84" s="51">
        <f t="shared" si="14"/>
        <v>0</v>
      </c>
      <c r="AF84" s="51">
        <f t="shared" si="15"/>
        <v>0</v>
      </c>
      <c r="AG84" s="52">
        <v>3305</v>
      </c>
      <c r="AH84" s="52">
        <v>3337</v>
      </c>
      <c r="AI84" s="52">
        <v>1</v>
      </c>
      <c r="AJ84" s="53" t="s">
        <v>238</v>
      </c>
    </row>
    <row r="85" spans="1:36" ht="15.75" hidden="1" x14ac:dyDescent="0.25">
      <c r="A85" s="33" t="s">
        <v>239</v>
      </c>
      <c r="B85" s="34">
        <v>2601</v>
      </c>
      <c r="C85" s="34"/>
      <c r="D85" s="35">
        <v>35</v>
      </c>
      <c r="E85" s="36" t="str">
        <f t="shared" si="16"/>
        <v/>
      </c>
      <c r="F85" s="37" t="str">
        <f t="shared" si="17"/>
        <v/>
      </c>
      <c r="G85" s="38">
        <f t="shared" si="18"/>
        <v>0</v>
      </c>
      <c r="H85" s="38">
        <f t="shared" si="18"/>
        <v>0</v>
      </c>
      <c r="I85" s="39">
        <v>33</v>
      </c>
      <c r="J85" s="40">
        <f t="shared" si="25"/>
        <v>0.94285714285714284</v>
      </c>
      <c r="K85" s="41">
        <v>0</v>
      </c>
      <c r="L85" s="42">
        <v>0.93400000000000005</v>
      </c>
      <c r="M85" s="39">
        <f t="shared" si="19"/>
        <v>33</v>
      </c>
      <c r="N85" s="40">
        <f t="shared" si="20"/>
        <v>0.94285714285714284</v>
      </c>
      <c r="O85" s="43"/>
      <c r="P85" s="44"/>
      <c r="Q85" s="45"/>
      <c r="R85" s="46"/>
      <c r="S85" s="47"/>
      <c r="T85" s="34">
        <f t="shared" si="13"/>
        <v>0</v>
      </c>
      <c r="U85" s="34">
        <f t="shared" si="21"/>
        <v>0</v>
      </c>
      <c r="V85" s="34">
        <f t="shared" si="22"/>
        <v>0</v>
      </c>
      <c r="W85" s="34">
        <f t="shared" si="23"/>
        <v>0</v>
      </c>
      <c r="X85" s="62" t="s">
        <v>240</v>
      </c>
      <c r="Y85" s="62" t="s">
        <v>38</v>
      </c>
      <c r="Z85" s="49" t="s">
        <v>47</v>
      </c>
      <c r="AA85" s="49" t="s">
        <v>241</v>
      </c>
      <c r="AB85" s="33" t="s">
        <v>220</v>
      </c>
      <c r="AC85" s="33"/>
      <c r="AD85" s="50">
        <f t="shared" si="24"/>
        <v>0.94285714285714284</v>
      </c>
      <c r="AE85" s="51">
        <f t="shared" si="14"/>
        <v>0</v>
      </c>
      <c r="AF85" s="51">
        <f t="shared" si="15"/>
        <v>0</v>
      </c>
      <c r="AG85" s="52">
        <v>2680</v>
      </c>
      <c r="AH85" s="52">
        <v>2601</v>
      </c>
      <c r="AI85" s="52">
        <v>1</v>
      </c>
      <c r="AJ85" s="53" t="s">
        <v>242</v>
      </c>
    </row>
    <row r="86" spans="1:36" ht="15.75" hidden="1" x14ac:dyDescent="0.25">
      <c r="A86" s="33" t="s">
        <v>243</v>
      </c>
      <c r="B86" s="34">
        <v>2696</v>
      </c>
      <c r="C86" s="34"/>
      <c r="D86" s="35">
        <v>50</v>
      </c>
      <c r="E86" s="36" t="str">
        <f t="shared" si="16"/>
        <v/>
      </c>
      <c r="F86" s="37" t="str">
        <f t="shared" si="17"/>
        <v/>
      </c>
      <c r="G86" s="38">
        <f t="shared" si="18"/>
        <v>0</v>
      </c>
      <c r="H86" s="38">
        <f t="shared" si="18"/>
        <v>0</v>
      </c>
      <c r="I86" s="39">
        <v>25.26</v>
      </c>
      <c r="J86" s="40">
        <f t="shared" si="25"/>
        <v>0.50519999999999998</v>
      </c>
      <c r="K86" s="41">
        <v>1.429</v>
      </c>
      <c r="L86" s="42">
        <v>0.98299999999999998</v>
      </c>
      <c r="M86" s="39">
        <f t="shared" si="19"/>
        <v>25.26</v>
      </c>
      <c r="N86" s="40">
        <f t="shared" si="20"/>
        <v>0.50519999999999998</v>
      </c>
      <c r="O86" s="43"/>
      <c r="P86" s="44"/>
      <c r="Q86" s="45"/>
      <c r="R86" s="46"/>
      <c r="S86" s="47"/>
      <c r="T86" s="34">
        <f t="shared" si="13"/>
        <v>0</v>
      </c>
      <c r="U86" s="34">
        <f t="shared" si="21"/>
        <v>0</v>
      </c>
      <c r="V86" s="34">
        <f t="shared" si="22"/>
        <v>0</v>
      </c>
      <c r="W86" s="34">
        <f t="shared" si="23"/>
        <v>0</v>
      </c>
      <c r="X86" s="62" t="s">
        <v>244</v>
      </c>
      <c r="Y86" s="62" t="s">
        <v>38</v>
      </c>
      <c r="Z86" s="49" t="s">
        <v>47</v>
      </c>
      <c r="AA86" s="49" t="s">
        <v>245</v>
      </c>
      <c r="AB86" s="33" t="s">
        <v>220</v>
      </c>
      <c r="AC86" s="33"/>
      <c r="AD86" s="50">
        <f t="shared" si="24"/>
        <v>0.50519999999999998</v>
      </c>
      <c r="AE86" s="51">
        <f t="shared" si="14"/>
        <v>0</v>
      </c>
      <c r="AF86" s="51">
        <f t="shared" si="15"/>
        <v>0</v>
      </c>
      <c r="AG86" s="52">
        <v>2690</v>
      </c>
      <c r="AH86" s="52">
        <v>2696</v>
      </c>
      <c r="AI86" s="52">
        <v>1</v>
      </c>
      <c r="AJ86" s="53" t="s">
        <v>246</v>
      </c>
    </row>
    <row r="87" spans="1:36" ht="15.75" hidden="1" x14ac:dyDescent="0.25">
      <c r="A87" s="33" t="s">
        <v>247</v>
      </c>
      <c r="B87" s="34">
        <v>4016</v>
      </c>
      <c r="C87" s="34"/>
      <c r="D87" s="35">
        <v>53</v>
      </c>
      <c r="E87" s="36" t="str">
        <f t="shared" si="16"/>
        <v/>
      </c>
      <c r="F87" s="37" t="str">
        <f t="shared" si="17"/>
        <v/>
      </c>
      <c r="G87" s="38">
        <f t="shared" si="18"/>
        <v>0</v>
      </c>
      <c r="H87" s="38">
        <f t="shared" si="18"/>
        <v>0</v>
      </c>
      <c r="I87" s="39">
        <v>30.18</v>
      </c>
      <c r="J87" s="40">
        <f t="shared" si="25"/>
        <v>0.56943396226415088</v>
      </c>
      <c r="K87" s="41">
        <v>-2.31</v>
      </c>
      <c r="L87" s="42">
        <v>1.01</v>
      </c>
      <c r="M87" s="39">
        <f t="shared" si="19"/>
        <v>30.18</v>
      </c>
      <c r="N87" s="40">
        <f t="shared" si="20"/>
        <v>0.56943396226415088</v>
      </c>
      <c r="O87" s="43"/>
      <c r="P87" s="44"/>
      <c r="Q87" s="45"/>
      <c r="R87" s="46"/>
      <c r="S87" s="47"/>
      <c r="T87" s="34">
        <f t="shared" si="13"/>
        <v>0</v>
      </c>
      <c r="U87" s="34">
        <f t="shared" si="21"/>
        <v>0</v>
      </c>
      <c r="V87" s="34">
        <f t="shared" si="22"/>
        <v>0</v>
      </c>
      <c r="W87" s="34">
        <f t="shared" si="23"/>
        <v>0</v>
      </c>
      <c r="X87" s="62" t="s">
        <v>37</v>
      </c>
      <c r="Y87" s="62" t="s">
        <v>38</v>
      </c>
      <c r="Z87" s="49" t="s">
        <v>47</v>
      </c>
      <c r="AA87" s="49" t="s">
        <v>248</v>
      </c>
      <c r="AB87" s="33" t="s">
        <v>220</v>
      </c>
      <c r="AC87" s="33" t="s">
        <v>249</v>
      </c>
      <c r="AD87" s="50">
        <f t="shared" si="24"/>
        <v>0.56943396226415088</v>
      </c>
      <c r="AE87" s="51">
        <f t="shared" si="14"/>
        <v>0</v>
      </c>
      <c r="AF87" s="51">
        <f t="shared" si="15"/>
        <v>0</v>
      </c>
      <c r="AG87" s="52">
        <v>4017</v>
      </c>
      <c r="AH87" s="52">
        <v>4016</v>
      </c>
      <c r="AI87" s="52">
        <v>1</v>
      </c>
      <c r="AJ87" s="53" t="s">
        <v>250</v>
      </c>
    </row>
    <row r="88" spans="1:36" ht="15.75" hidden="1" x14ac:dyDescent="0.25">
      <c r="A88" s="33" t="s">
        <v>251</v>
      </c>
      <c r="B88" s="34">
        <v>317</v>
      </c>
      <c r="C88" s="34"/>
      <c r="D88" s="35">
        <v>69</v>
      </c>
      <c r="E88" s="36" t="str">
        <f t="shared" si="16"/>
        <v/>
      </c>
      <c r="F88" s="37" t="str">
        <f t="shared" si="17"/>
        <v/>
      </c>
      <c r="G88" s="38">
        <f t="shared" si="18"/>
        <v>0</v>
      </c>
      <c r="H88" s="38">
        <f t="shared" si="18"/>
        <v>0</v>
      </c>
      <c r="I88" s="39">
        <v>38.97</v>
      </c>
      <c r="J88" s="40">
        <f t="shared" si="25"/>
        <v>0.56478260869565211</v>
      </c>
      <c r="K88" s="41">
        <v>0.39600000000000002</v>
      </c>
      <c r="L88" s="42">
        <v>1</v>
      </c>
      <c r="M88" s="39">
        <f t="shared" si="19"/>
        <v>38.97</v>
      </c>
      <c r="N88" s="40">
        <f t="shared" si="20"/>
        <v>0.56478260869565211</v>
      </c>
      <c r="O88" s="43"/>
      <c r="P88" s="44"/>
      <c r="Q88" s="45"/>
      <c r="R88" s="46"/>
      <c r="S88" s="47"/>
      <c r="T88" s="34">
        <f t="shared" si="13"/>
        <v>0</v>
      </c>
      <c r="U88" s="34">
        <f t="shared" si="21"/>
        <v>0</v>
      </c>
      <c r="V88" s="34">
        <f t="shared" si="22"/>
        <v>0</v>
      </c>
      <c r="W88" s="34">
        <f t="shared" si="23"/>
        <v>0</v>
      </c>
      <c r="X88" s="62" t="s">
        <v>37</v>
      </c>
      <c r="Y88" s="62" t="s">
        <v>38</v>
      </c>
      <c r="Z88" s="49" t="s">
        <v>47</v>
      </c>
      <c r="AA88" s="49" t="s">
        <v>252</v>
      </c>
      <c r="AB88" s="33" t="s">
        <v>220</v>
      </c>
      <c r="AC88" s="33" t="s">
        <v>249</v>
      </c>
      <c r="AD88" s="50">
        <f t="shared" si="24"/>
        <v>0.56478260869565211</v>
      </c>
      <c r="AE88" s="51">
        <f t="shared" si="14"/>
        <v>0</v>
      </c>
      <c r="AF88" s="51">
        <f t="shared" si="15"/>
        <v>0</v>
      </c>
      <c r="AG88" s="52">
        <v>327</v>
      </c>
      <c r="AH88" s="52">
        <v>317</v>
      </c>
      <c r="AI88" s="52">
        <v>1</v>
      </c>
      <c r="AJ88" s="53" t="s">
        <v>253</v>
      </c>
    </row>
    <row r="89" spans="1:36" ht="15.75" hidden="1" x14ac:dyDescent="0.25">
      <c r="A89" s="33" t="s">
        <v>254</v>
      </c>
      <c r="B89" s="34">
        <v>44322</v>
      </c>
      <c r="C89" s="34"/>
      <c r="D89" s="85">
        <v>44</v>
      </c>
      <c r="E89" s="36" t="str">
        <f t="shared" si="16"/>
        <v/>
      </c>
      <c r="F89" s="37" t="str">
        <f t="shared" si="17"/>
        <v/>
      </c>
      <c r="G89" s="38">
        <f t="shared" si="18"/>
        <v>0</v>
      </c>
      <c r="H89" s="38">
        <f t="shared" si="18"/>
        <v>0</v>
      </c>
      <c r="I89" s="39">
        <v>31</v>
      </c>
      <c r="J89" s="40">
        <f t="shared" si="25"/>
        <v>0.70454545454545459</v>
      </c>
      <c r="K89" s="41">
        <v>14.28</v>
      </c>
      <c r="L89" s="42">
        <v>0.999</v>
      </c>
      <c r="M89" s="39">
        <f t="shared" si="19"/>
        <v>31</v>
      </c>
      <c r="N89" s="40">
        <f t="shared" si="20"/>
        <v>0.70454545454545459</v>
      </c>
      <c r="O89" s="43"/>
      <c r="P89" s="44"/>
      <c r="Q89" s="45"/>
      <c r="R89" s="46"/>
      <c r="S89" s="47"/>
      <c r="T89" s="34">
        <f t="shared" si="13"/>
        <v>0</v>
      </c>
      <c r="U89" s="34">
        <f t="shared" si="21"/>
        <v>0</v>
      </c>
      <c r="V89" s="34">
        <f t="shared" si="22"/>
        <v>0</v>
      </c>
      <c r="W89" s="34">
        <f t="shared" si="23"/>
        <v>0</v>
      </c>
      <c r="X89" s="62" t="s">
        <v>229</v>
      </c>
      <c r="Y89" s="62" t="s">
        <v>38</v>
      </c>
      <c r="Z89" s="49" t="s">
        <v>47</v>
      </c>
      <c r="AA89" s="49" t="s">
        <v>255</v>
      </c>
      <c r="AB89" s="33" t="s">
        <v>220</v>
      </c>
      <c r="AC89" s="33"/>
      <c r="AD89" s="50">
        <f t="shared" si="24"/>
        <v>0.70454545454545459</v>
      </c>
      <c r="AE89" s="51">
        <f t="shared" si="14"/>
        <v>0</v>
      </c>
      <c r="AF89" s="51">
        <f t="shared" si="15"/>
        <v>0</v>
      </c>
      <c r="AG89" s="52">
        <v>254</v>
      </c>
      <c r="AH89" s="52">
        <v>44322</v>
      </c>
      <c r="AI89" s="52">
        <v>1</v>
      </c>
      <c r="AJ89" s="53" t="s">
        <v>256</v>
      </c>
    </row>
    <row r="90" spans="1:36" ht="15.75" hidden="1" x14ac:dyDescent="0.25">
      <c r="A90" s="33" t="s">
        <v>254</v>
      </c>
      <c r="B90" s="34">
        <v>253</v>
      </c>
      <c r="C90" s="34"/>
      <c r="D90" s="85">
        <v>88</v>
      </c>
      <c r="E90" s="36" t="str">
        <f t="shared" si="16"/>
        <v/>
      </c>
      <c r="F90" s="37" t="str">
        <f t="shared" si="17"/>
        <v/>
      </c>
      <c r="G90" s="38">
        <f t="shared" si="18"/>
        <v>0</v>
      </c>
      <c r="H90" s="38">
        <f t="shared" si="18"/>
        <v>0</v>
      </c>
      <c r="I90" s="39">
        <v>62.1</v>
      </c>
      <c r="J90" s="40">
        <f t="shared" si="25"/>
        <v>0.70568181818181819</v>
      </c>
      <c r="K90" s="41">
        <v>29.52</v>
      </c>
      <c r="L90" s="42">
        <v>0.99399999999999999</v>
      </c>
      <c r="M90" s="39">
        <f t="shared" si="19"/>
        <v>62.1</v>
      </c>
      <c r="N90" s="40">
        <f t="shared" si="20"/>
        <v>0.70568181818181819</v>
      </c>
      <c r="O90" s="43"/>
      <c r="P90" s="44"/>
      <c r="Q90" s="45"/>
      <c r="R90" s="46"/>
      <c r="S90" s="47"/>
      <c r="T90" s="34">
        <f t="shared" si="13"/>
        <v>0</v>
      </c>
      <c r="U90" s="34">
        <f t="shared" si="21"/>
        <v>0</v>
      </c>
      <c r="V90" s="34">
        <f t="shared" si="22"/>
        <v>0</v>
      </c>
      <c r="W90" s="34">
        <f t="shared" si="23"/>
        <v>0</v>
      </c>
      <c r="X90" s="62" t="s">
        <v>229</v>
      </c>
      <c r="Y90" s="62" t="s">
        <v>38</v>
      </c>
      <c r="Z90" s="49" t="s">
        <v>47</v>
      </c>
      <c r="AA90" s="49" t="s">
        <v>255</v>
      </c>
      <c r="AB90" s="33" t="s">
        <v>220</v>
      </c>
      <c r="AC90" s="33"/>
      <c r="AD90" s="50">
        <f t="shared" si="24"/>
        <v>0.70568181818181819</v>
      </c>
      <c r="AE90" s="51">
        <f t="shared" si="14"/>
        <v>0</v>
      </c>
      <c r="AF90" s="51">
        <f t="shared" si="15"/>
        <v>0</v>
      </c>
      <c r="AG90" s="52">
        <v>254</v>
      </c>
      <c r="AH90" s="52">
        <v>253</v>
      </c>
      <c r="AI90" s="52">
        <v>1</v>
      </c>
      <c r="AJ90" s="53" t="s">
        <v>257</v>
      </c>
    </row>
    <row r="91" spans="1:36" ht="15.75" hidden="1" x14ac:dyDescent="0.25">
      <c r="A91" s="33" t="s">
        <v>258</v>
      </c>
      <c r="B91" s="34">
        <v>255</v>
      </c>
      <c r="C91" s="34"/>
      <c r="D91" s="85">
        <v>100</v>
      </c>
      <c r="E91" s="36" t="str">
        <f t="shared" si="16"/>
        <v/>
      </c>
      <c r="F91" s="37" t="str">
        <f t="shared" si="17"/>
        <v/>
      </c>
      <c r="G91" s="38">
        <f t="shared" si="18"/>
        <v>0</v>
      </c>
      <c r="H91" s="38">
        <f t="shared" si="18"/>
        <v>0</v>
      </c>
      <c r="I91" s="39">
        <v>52.07</v>
      </c>
      <c r="J91" s="40">
        <f t="shared" si="25"/>
        <v>0.52070000000000005</v>
      </c>
      <c r="K91" s="41">
        <v>20.11</v>
      </c>
      <c r="L91" s="42">
        <v>0.98499999999999999</v>
      </c>
      <c r="M91" s="39">
        <f t="shared" si="19"/>
        <v>52.07</v>
      </c>
      <c r="N91" s="40">
        <f t="shared" si="20"/>
        <v>0.52070000000000005</v>
      </c>
      <c r="O91" s="43"/>
      <c r="P91" s="44"/>
      <c r="Q91" s="45"/>
      <c r="R91" s="46"/>
      <c r="S91" s="47"/>
      <c r="T91" s="34">
        <f t="shared" si="13"/>
        <v>0</v>
      </c>
      <c r="U91" s="34">
        <f t="shared" si="21"/>
        <v>0</v>
      </c>
      <c r="V91" s="34">
        <f t="shared" si="22"/>
        <v>0</v>
      </c>
      <c r="W91" s="34">
        <f t="shared" si="23"/>
        <v>0</v>
      </c>
      <c r="X91" s="62" t="s">
        <v>229</v>
      </c>
      <c r="Y91" s="62" t="s">
        <v>38</v>
      </c>
      <c r="Z91" s="49" t="s">
        <v>47</v>
      </c>
      <c r="AA91" s="49" t="s">
        <v>255</v>
      </c>
      <c r="AB91" s="33" t="s">
        <v>220</v>
      </c>
      <c r="AC91" s="33"/>
      <c r="AD91" s="50">
        <f t="shared" si="24"/>
        <v>0.52070000000000005</v>
      </c>
      <c r="AE91" s="51">
        <f t="shared" si="14"/>
        <v>0</v>
      </c>
      <c r="AF91" s="51">
        <f t="shared" si="15"/>
        <v>0</v>
      </c>
      <c r="AG91" s="52">
        <v>256</v>
      </c>
      <c r="AH91" s="52">
        <v>255</v>
      </c>
      <c r="AI91" s="52">
        <v>1</v>
      </c>
      <c r="AJ91" s="53" t="s">
        <v>259</v>
      </c>
    </row>
    <row r="92" spans="1:36" ht="15.75" hidden="1" x14ac:dyDescent="0.25">
      <c r="A92" s="33" t="s">
        <v>260</v>
      </c>
      <c r="B92" s="34">
        <v>44323</v>
      </c>
      <c r="C92" s="34"/>
      <c r="D92" s="85">
        <v>284</v>
      </c>
      <c r="E92" s="36" t="str">
        <f t="shared" si="16"/>
        <v/>
      </c>
      <c r="F92" s="37" t="str">
        <f t="shared" si="17"/>
        <v/>
      </c>
      <c r="G92" s="38">
        <f t="shared" si="18"/>
        <v>0</v>
      </c>
      <c r="H92" s="38">
        <f t="shared" si="18"/>
        <v>0</v>
      </c>
      <c r="I92" s="39">
        <v>114</v>
      </c>
      <c r="J92" s="40">
        <f t="shared" si="25"/>
        <v>0.40140845070422537</v>
      </c>
      <c r="K92" s="41">
        <v>52.69</v>
      </c>
      <c r="L92" s="42">
        <v>0.98899999999999999</v>
      </c>
      <c r="M92" s="39">
        <f t="shared" si="19"/>
        <v>114</v>
      </c>
      <c r="N92" s="40">
        <f t="shared" si="20"/>
        <v>0.40140845070422537</v>
      </c>
      <c r="O92" s="43"/>
      <c r="P92" s="44"/>
      <c r="Q92" s="45"/>
      <c r="R92" s="46"/>
      <c r="S92" s="47"/>
      <c r="T92" s="34">
        <f t="shared" si="13"/>
        <v>0</v>
      </c>
      <c r="U92" s="34">
        <f t="shared" si="21"/>
        <v>0</v>
      </c>
      <c r="V92" s="34">
        <f t="shared" si="22"/>
        <v>0</v>
      </c>
      <c r="W92" s="34">
        <f t="shared" si="23"/>
        <v>0</v>
      </c>
      <c r="X92" s="62" t="s">
        <v>229</v>
      </c>
      <c r="Y92" s="62" t="s">
        <v>38</v>
      </c>
      <c r="Z92" s="49" t="s">
        <v>47</v>
      </c>
      <c r="AA92" s="49" t="s">
        <v>261</v>
      </c>
      <c r="AB92" s="33" t="s">
        <v>220</v>
      </c>
      <c r="AC92" s="33"/>
      <c r="AD92" s="50">
        <f t="shared" si="24"/>
        <v>0.40140845070422537</v>
      </c>
      <c r="AE92" s="51">
        <f t="shared" si="14"/>
        <v>0</v>
      </c>
      <c r="AF92" s="51">
        <f t="shared" si="15"/>
        <v>0</v>
      </c>
      <c r="AG92" s="52">
        <v>251</v>
      </c>
      <c r="AH92" s="52">
        <v>44323</v>
      </c>
      <c r="AI92" s="52">
        <v>1</v>
      </c>
      <c r="AJ92" s="53" t="s">
        <v>262</v>
      </c>
    </row>
    <row r="93" spans="1:36" ht="15.75" hidden="1" x14ac:dyDescent="0.25">
      <c r="A93" s="33" t="s">
        <v>260</v>
      </c>
      <c r="B93" s="34">
        <v>250</v>
      </c>
      <c r="C93" s="34"/>
      <c r="D93" s="85">
        <v>96</v>
      </c>
      <c r="E93" s="36" t="str">
        <f t="shared" si="16"/>
        <v/>
      </c>
      <c r="F93" s="37" t="str">
        <f t="shared" si="17"/>
        <v/>
      </c>
      <c r="G93" s="38">
        <f t="shared" si="18"/>
        <v>0</v>
      </c>
      <c r="H93" s="38">
        <f t="shared" si="18"/>
        <v>0</v>
      </c>
      <c r="I93" s="39">
        <v>94.36</v>
      </c>
      <c r="J93" s="40">
        <f t="shared" si="25"/>
        <v>0.98291666666666666</v>
      </c>
      <c r="K93" s="41">
        <v>27.57</v>
      </c>
      <c r="L93" s="42">
        <v>0.99099999999999999</v>
      </c>
      <c r="M93" s="39">
        <f t="shared" si="19"/>
        <v>94.36</v>
      </c>
      <c r="N93" s="40">
        <f t="shared" si="20"/>
        <v>0.98291666666666666</v>
      </c>
      <c r="O93" s="43"/>
      <c r="P93" s="44"/>
      <c r="Q93" s="45"/>
      <c r="R93" s="46"/>
      <c r="S93" s="47"/>
      <c r="T93" s="34">
        <f t="shared" si="13"/>
        <v>0</v>
      </c>
      <c r="U93" s="34">
        <f t="shared" si="21"/>
        <v>0</v>
      </c>
      <c r="V93" s="34">
        <f t="shared" si="22"/>
        <v>0</v>
      </c>
      <c r="W93" s="34">
        <f t="shared" si="23"/>
        <v>0</v>
      </c>
      <c r="X93" s="62" t="s">
        <v>229</v>
      </c>
      <c r="Y93" s="62" t="s">
        <v>38</v>
      </c>
      <c r="Z93" s="49" t="s">
        <v>47</v>
      </c>
      <c r="AA93" s="49" t="s">
        <v>261</v>
      </c>
      <c r="AB93" s="33" t="s">
        <v>220</v>
      </c>
      <c r="AC93" s="33"/>
      <c r="AD93" s="50">
        <f t="shared" si="24"/>
        <v>0.98291666666666666</v>
      </c>
      <c r="AE93" s="51">
        <f t="shared" si="14"/>
        <v>0</v>
      </c>
      <c r="AF93" s="51">
        <f t="shared" si="15"/>
        <v>0</v>
      </c>
      <c r="AG93" s="52">
        <v>251</v>
      </c>
      <c r="AH93" s="52">
        <v>250</v>
      </c>
      <c r="AI93" s="52">
        <v>1</v>
      </c>
      <c r="AJ93" s="53" t="s">
        <v>263</v>
      </c>
    </row>
    <row r="94" spans="1:36" ht="15.75" hidden="1" x14ac:dyDescent="0.25">
      <c r="A94" s="33" t="s">
        <v>264</v>
      </c>
      <c r="B94" s="34">
        <v>1559</v>
      </c>
      <c r="C94" s="34"/>
      <c r="D94" s="85">
        <v>140</v>
      </c>
      <c r="E94" s="36" t="str">
        <f t="shared" si="16"/>
        <v/>
      </c>
      <c r="F94" s="37" t="str">
        <f t="shared" si="17"/>
        <v/>
      </c>
      <c r="G94" s="38">
        <f t="shared" si="18"/>
        <v>0</v>
      </c>
      <c r="H94" s="38">
        <f t="shared" si="18"/>
        <v>0</v>
      </c>
      <c r="I94" s="39">
        <v>49.25</v>
      </c>
      <c r="J94" s="40">
        <f t="shared" si="25"/>
        <v>0.35178571428571431</v>
      </c>
      <c r="K94" s="41">
        <v>1.474</v>
      </c>
      <c r="L94" s="42">
        <v>1.01</v>
      </c>
      <c r="M94" s="39">
        <f t="shared" si="19"/>
        <v>49.25</v>
      </c>
      <c r="N94" s="40">
        <f t="shared" si="20"/>
        <v>0.35178571428571431</v>
      </c>
      <c r="O94" s="43"/>
      <c r="P94" s="44"/>
      <c r="Q94" s="45"/>
      <c r="R94" s="46"/>
      <c r="S94" s="47"/>
      <c r="T94" s="34">
        <f t="shared" si="13"/>
        <v>0</v>
      </c>
      <c r="U94" s="34">
        <f t="shared" si="21"/>
        <v>0</v>
      </c>
      <c r="V94" s="34">
        <f t="shared" si="22"/>
        <v>0</v>
      </c>
      <c r="W94" s="34">
        <f t="shared" si="23"/>
        <v>0</v>
      </c>
      <c r="X94" s="62" t="s">
        <v>37</v>
      </c>
      <c r="Y94" s="62" t="s">
        <v>38</v>
      </c>
      <c r="Z94" s="49" t="s">
        <v>47</v>
      </c>
      <c r="AA94" s="49" t="s">
        <v>265</v>
      </c>
      <c r="AB94" s="33" t="s">
        <v>265</v>
      </c>
      <c r="AC94" s="33" t="s">
        <v>249</v>
      </c>
      <c r="AD94" s="50">
        <f t="shared" si="24"/>
        <v>0.35178571428571431</v>
      </c>
      <c r="AE94" s="51">
        <f t="shared" si="14"/>
        <v>0</v>
      </c>
      <c r="AF94" s="51">
        <f t="shared" si="15"/>
        <v>0</v>
      </c>
      <c r="AG94" s="52">
        <v>1560</v>
      </c>
      <c r="AH94" s="52">
        <v>1559</v>
      </c>
      <c r="AI94" s="52">
        <v>1</v>
      </c>
      <c r="AJ94" s="53" t="s">
        <v>266</v>
      </c>
    </row>
    <row r="95" spans="1:36" ht="15.75" hidden="1" x14ac:dyDescent="0.25">
      <c r="A95" s="33" t="s">
        <v>267</v>
      </c>
      <c r="B95" s="34">
        <v>306</v>
      </c>
      <c r="C95" s="34"/>
      <c r="D95" s="35">
        <v>140</v>
      </c>
      <c r="E95" s="36" t="str">
        <f t="shared" si="16"/>
        <v/>
      </c>
      <c r="F95" s="37" t="str">
        <f t="shared" si="17"/>
        <v/>
      </c>
      <c r="G95" s="38">
        <f t="shared" si="18"/>
        <v>0</v>
      </c>
      <c r="H95" s="38">
        <f t="shared" si="18"/>
        <v>0</v>
      </c>
      <c r="I95" s="39">
        <v>56.76</v>
      </c>
      <c r="J95" s="40">
        <f t="shared" si="25"/>
        <v>0.40542857142857142</v>
      </c>
      <c r="K95" s="41">
        <v>7.1989999999999998</v>
      </c>
      <c r="L95" s="42">
        <v>0.999</v>
      </c>
      <c r="M95" s="39">
        <f t="shared" si="19"/>
        <v>56.76</v>
      </c>
      <c r="N95" s="40">
        <f t="shared" si="20"/>
        <v>0.40542857142857142</v>
      </c>
      <c r="O95" s="43"/>
      <c r="P95" s="44"/>
      <c r="Q95" s="45"/>
      <c r="R95" s="46"/>
      <c r="S95" s="47"/>
      <c r="T95" s="34">
        <f t="shared" si="13"/>
        <v>0</v>
      </c>
      <c r="U95" s="34">
        <f t="shared" si="21"/>
        <v>0</v>
      </c>
      <c r="V95" s="34">
        <f t="shared" si="22"/>
        <v>0</v>
      </c>
      <c r="W95" s="34">
        <f t="shared" si="23"/>
        <v>0</v>
      </c>
      <c r="X95" s="62" t="s">
        <v>37</v>
      </c>
      <c r="Y95" s="62" t="s">
        <v>38</v>
      </c>
      <c r="Z95" s="49" t="s">
        <v>47</v>
      </c>
      <c r="AA95" s="49" t="s">
        <v>268</v>
      </c>
      <c r="AB95" s="49" t="s">
        <v>265</v>
      </c>
      <c r="AC95" s="33" t="s">
        <v>249</v>
      </c>
      <c r="AD95" s="50">
        <f t="shared" si="24"/>
        <v>0.40542857142857142</v>
      </c>
      <c r="AE95" s="51">
        <f t="shared" si="14"/>
        <v>0</v>
      </c>
      <c r="AF95" s="51">
        <f t="shared" si="15"/>
        <v>0</v>
      </c>
      <c r="AG95" s="52">
        <v>1529</v>
      </c>
      <c r="AH95" s="52">
        <v>306</v>
      </c>
      <c r="AI95" s="52">
        <v>1</v>
      </c>
      <c r="AJ95" s="53" t="s">
        <v>269</v>
      </c>
    </row>
    <row r="96" spans="1:36" ht="15.75" hidden="1" x14ac:dyDescent="0.25">
      <c r="A96" s="33" t="s">
        <v>270</v>
      </c>
      <c r="B96" s="34">
        <v>1599</v>
      </c>
      <c r="C96" s="34"/>
      <c r="D96" s="35">
        <v>83</v>
      </c>
      <c r="E96" s="36" t="str">
        <f t="shared" si="16"/>
        <v/>
      </c>
      <c r="F96" s="37" t="str">
        <f t="shared" si="17"/>
        <v/>
      </c>
      <c r="G96" s="38">
        <f t="shared" si="18"/>
        <v>0</v>
      </c>
      <c r="H96" s="38">
        <f t="shared" si="18"/>
        <v>0</v>
      </c>
      <c r="I96" s="39">
        <v>37.15</v>
      </c>
      <c r="J96" s="40">
        <f t="shared" si="25"/>
        <v>0.44759036144578312</v>
      </c>
      <c r="K96" s="41">
        <v>15.61</v>
      </c>
      <c r="L96" s="42">
        <v>1.01</v>
      </c>
      <c r="M96" s="39">
        <f t="shared" si="19"/>
        <v>37.15</v>
      </c>
      <c r="N96" s="40">
        <f t="shared" si="20"/>
        <v>0.44759036144578312</v>
      </c>
      <c r="O96" s="43"/>
      <c r="P96" s="44"/>
      <c r="Q96" s="45"/>
      <c r="R96" s="46"/>
      <c r="S96" s="47"/>
      <c r="T96" s="34">
        <f t="shared" si="13"/>
        <v>0</v>
      </c>
      <c r="U96" s="34">
        <f t="shared" si="21"/>
        <v>0</v>
      </c>
      <c r="V96" s="34">
        <f t="shared" si="22"/>
        <v>0</v>
      </c>
      <c r="W96" s="34">
        <f t="shared" si="23"/>
        <v>0</v>
      </c>
      <c r="X96" s="62" t="s">
        <v>37</v>
      </c>
      <c r="Y96" s="62" t="s">
        <v>38</v>
      </c>
      <c r="Z96" s="49" t="s">
        <v>47</v>
      </c>
      <c r="AA96" s="49" t="s">
        <v>268</v>
      </c>
      <c r="AB96" s="49" t="s">
        <v>265</v>
      </c>
      <c r="AC96" s="33" t="s">
        <v>249</v>
      </c>
      <c r="AD96" s="50">
        <f t="shared" si="24"/>
        <v>0.44759036144578312</v>
      </c>
      <c r="AE96" s="51">
        <f t="shared" si="14"/>
        <v>0</v>
      </c>
      <c r="AF96" s="51">
        <f t="shared" si="15"/>
        <v>0</v>
      </c>
      <c r="AG96" s="52">
        <v>1598</v>
      </c>
      <c r="AH96" s="52">
        <v>1599</v>
      </c>
      <c r="AI96" s="52">
        <v>1</v>
      </c>
      <c r="AJ96" s="53" t="s">
        <v>271</v>
      </c>
    </row>
    <row r="97" spans="1:36" ht="15.75" hidden="1" x14ac:dyDescent="0.25">
      <c r="A97" s="33" t="s">
        <v>272</v>
      </c>
      <c r="B97" s="34">
        <v>1502</v>
      </c>
      <c r="C97" s="34"/>
      <c r="D97" s="35">
        <v>100</v>
      </c>
      <c r="E97" s="36" t="str">
        <f t="shared" si="16"/>
        <v/>
      </c>
      <c r="F97" s="37" t="str">
        <f t="shared" si="17"/>
        <v/>
      </c>
      <c r="G97" s="38">
        <f t="shared" si="18"/>
        <v>0</v>
      </c>
      <c r="H97" s="38">
        <f t="shared" si="18"/>
        <v>0</v>
      </c>
      <c r="I97" s="39">
        <v>70.28</v>
      </c>
      <c r="J97" s="40">
        <f t="shared" si="25"/>
        <v>0.70279999999999998</v>
      </c>
      <c r="K97" s="41">
        <v>-13.6</v>
      </c>
      <c r="L97" s="42">
        <v>1</v>
      </c>
      <c r="M97" s="39">
        <f t="shared" si="19"/>
        <v>70.28</v>
      </c>
      <c r="N97" s="40">
        <f t="shared" si="20"/>
        <v>0.70279999999999998</v>
      </c>
      <c r="O97" s="43"/>
      <c r="P97" s="44"/>
      <c r="Q97" s="45"/>
      <c r="R97" s="46"/>
      <c r="S97" s="47"/>
      <c r="T97" s="34">
        <f t="shared" si="13"/>
        <v>0</v>
      </c>
      <c r="U97" s="34">
        <f t="shared" si="21"/>
        <v>0</v>
      </c>
      <c r="V97" s="34">
        <f t="shared" si="22"/>
        <v>0</v>
      </c>
      <c r="W97" s="34">
        <f t="shared" si="23"/>
        <v>0</v>
      </c>
      <c r="X97" s="62" t="s">
        <v>37</v>
      </c>
      <c r="Y97" s="62" t="s">
        <v>38</v>
      </c>
      <c r="Z97" s="49" t="s">
        <v>47</v>
      </c>
      <c r="AA97" s="49" t="s">
        <v>273</v>
      </c>
      <c r="AB97" s="33" t="s">
        <v>265</v>
      </c>
      <c r="AC97" s="33" t="s">
        <v>249</v>
      </c>
      <c r="AD97" s="50">
        <f t="shared" si="24"/>
        <v>0.70279999999999998</v>
      </c>
      <c r="AE97" s="51">
        <f t="shared" si="14"/>
        <v>0</v>
      </c>
      <c r="AF97" s="51">
        <f t="shared" si="15"/>
        <v>0</v>
      </c>
      <c r="AG97" s="52">
        <v>1570</v>
      </c>
      <c r="AH97" s="52">
        <v>1502</v>
      </c>
      <c r="AI97" s="52">
        <v>1</v>
      </c>
      <c r="AJ97" s="53" t="s">
        <v>274</v>
      </c>
    </row>
    <row r="98" spans="1:36" ht="15.75" hidden="1" x14ac:dyDescent="0.25">
      <c r="A98" s="33" t="s">
        <v>275</v>
      </c>
      <c r="B98" s="34">
        <v>1594</v>
      </c>
      <c r="C98" s="34"/>
      <c r="D98" s="35">
        <v>117</v>
      </c>
      <c r="E98" s="36" t="str">
        <f t="shared" si="16"/>
        <v/>
      </c>
      <c r="F98" s="37" t="str">
        <f t="shared" si="17"/>
        <v/>
      </c>
      <c r="G98" s="38">
        <f t="shared" si="18"/>
        <v>0</v>
      </c>
      <c r="H98" s="38">
        <f t="shared" si="18"/>
        <v>0</v>
      </c>
      <c r="I98" s="39">
        <v>55.14</v>
      </c>
      <c r="J98" s="40">
        <f t="shared" si="25"/>
        <v>0.47128205128205131</v>
      </c>
      <c r="K98" s="41">
        <v>2.8780000000000001</v>
      </c>
      <c r="L98" s="42">
        <v>0.99399999999999999</v>
      </c>
      <c r="M98" s="39">
        <f t="shared" si="19"/>
        <v>55.14</v>
      </c>
      <c r="N98" s="40">
        <f t="shared" si="20"/>
        <v>0.47128205128205131</v>
      </c>
      <c r="O98" s="43"/>
      <c r="P98" s="44"/>
      <c r="Q98" s="45"/>
      <c r="R98" s="46"/>
      <c r="S98" s="47"/>
      <c r="T98" s="34">
        <f t="shared" si="13"/>
        <v>0</v>
      </c>
      <c r="U98" s="34">
        <f t="shared" si="21"/>
        <v>0</v>
      </c>
      <c r="V98" s="34">
        <f t="shared" si="22"/>
        <v>0</v>
      </c>
      <c r="W98" s="34">
        <f t="shared" si="23"/>
        <v>0</v>
      </c>
      <c r="X98" s="62" t="s">
        <v>37</v>
      </c>
      <c r="Y98" s="62" t="s">
        <v>38</v>
      </c>
      <c r="Z98" s="49" t="s">
        <v>47</v>
      </c>
      <c r="AA98" s="49" t="s">
        <v>273</v>
      </c>
      <c r="AB98" s="33" t="s">
        <v>265</v>
      </c>
      <c r="AC98" s="33" t="s">
        <v>249</v>
      </c>
      <c r="AD98" s="50">
        <f t="shared" si="24"/>
        <v>0.47128205128205131</v>
      </c>
      <c r="AE98" s="51">
        <f t="shared" si="14"/>
        <v>0</v>
      </c>
      <c r="AF98" s="51">
        <f t="shared" si="15"/>
        <v>0</v>
      </c>
      <c r="AG98" s="52">
        <v>1592</v>
      </c>
      <c r="AH98" s="52">
        <v>1594</v>
      </c>
      <c r="AI98" s="52">
        <v>1</v>
      </c>
      <c r="AJ98" s="53" t="s">
        <v>276</v>
      </c>
    </row>
    <row r="99" spans="1:36" ht="15.75" hidden="1" x14ac:dyDescent="0.25">
      <c r="A99" s="33" t="s">
        <v>277</v>
      </c>
      <c r="B99" s="34">
        <v>1496</v>
      </c>
      <c r="C99" s="34"/>
      <c r="D99" s="35">
        <v>140</v>
      </c>
      <c r="E99" s="36" t="str">
        <f t="shared" si="16"/>
        <v/>
      </c>
      <c r="F99" s="37" t="str">
        <f t="shared" si="17"/>
        <v/>
      </c>
      <c r="G99" s="38">
        <f t="shared" si="18"/>
        <v>0</v>
      </c>
      <c r="H99" s="38">
        <f t="shared" si="18"/>
        <v>0</v>
      </c>
      <c r="I99" s="78">
        <v>70.77</v>
      </c>
      <c r="J99" s="40">
        <f t="shared" si="25"/>
        <v>0.50549999999999995</v>
      </c>
      <c r="K99" s="41">
        <v>-21</v>
      </c>
      <c r="L99" s="42">
        <v>1.01</v>
      </c>
      <c r="M99" s="39">
        <f t="shared" si="19"/>
        <v>70.77</v>
      </c>
      <c r="N99" s="40">
        <f t="shared" si="20"/>
        <v>0.50549999999999995</v>
      </c>
      <c r="O99" s="43"/>
      <c r="P99" s="44"/>
      <c r="Q99" s="45"/>
      <c r="R99" s="46"/>
      <c r="S99" s="47"/>
      <c r="T99" s="34">
        <f t="shared" si="13"/>
        <v>0</v>
      </c>
      <c r="U99" s="34">
        <f t="shared" si="21"/>
        <v>0</v>
      </c>
      <c r="V99" s="34">
        <f t="shared" si="22"/>
        <v>0</v>
      </c>
      <c r="W99" s="34">
        <f t="shared" si="23"/>
        <v>0</v>
      </c>
      <c r="X99" s="62" t="s">
        <v>37</v>
      </c>
      <c r="Y99" s="62" t="s">
        <v>38</v>
      </c>
      <c r="Z99" s="49" t="s">
        <v>47</v>
      </c>
      <c r="AA99" s="49" t="s">
        <v>265</v>
      </c>
      <c r="AB99" s="33" t="s">
        <v>265</v>
      </c>
      <c r="AC99" s="33" t="s">
        <v>249</v>
      </c>
      <c r="AD99" s="50">
        <f t="shared" si="24"/>
        <v>0.50549999999999995</v>
      </c>
      <c r="AE99" s="51">
        <f t="shared" si="14"/>
        <v>0</v>
      </c>
      <c r="AF99" s="51">
        <f t="shared" si="15"/>
        <v>0</v>
      </c>
      <c r="AG99" s="52">
        <v>1496</v>
      </c>
      <c r="AH99" s="52">
        <v>1495</v>
      </c>
      <c r="AI99" s="52">
        <v>1</v>
      </c>
      <c r="AJ99" s="53" t="s">
        <v>278</v>
      </c>
    </row>
    <row r="100" spans="1:36" ht="15.75" hidden="1" x14ac:dyDescent="0.25">
      <c r="A100" s="33" t="s">
        <v>279</v>
      </c>
      <c r="B100" s="34">
        <v>4042</v>
      </c>
      <c r="C100" s="34"/>
      <c r="D100" s="85">
        <v>330</v>
      </c>
      <c r="E100" s="36" t="str">
        <f t="shared" si="16"/>
        <v/>
      </c>
      <c r="F100" s="37" t="str">
        <f t="shared" si="17"/>
        <v/>
      </c>
      <c r="G100" s="38">
        <f t="shared" si="18"/>
        <v>0</v>
      </c>
      <c r="H100" s="38">
        <f t="shared" si="18"/>
        <v>0</v>
      </c>
      <c r="I100" s="39">
        <v>59</v>
      </c>
      <c r="J100" s="40">
        <f t="shared" si="25"/>
        <v>0.1787878787878788</v>
      </c>
      <c r="K100" s="41">
        <v>26.9</v>
      </c>
      <c r="L100" s="42">
        <v>1</v>
      </c>
      <c r="M100" s="39">
        <f t="shared" si="19"/>
        <v>59</v>
      </c>
      <c r="N100" s="40">
        <f t="shared" si="20"/>
        <v>0.1787878787878788</v>
      </c>
      <c r="O100" s="43"/>
      <c r="P100" s="44"/>
      <c r="Q100" s="45"/>
      <c r="R100" s="46"/>
      <c r="S100" s="47"/>
      <c r="T100" s="34">
        <f t="shared" si="13"/>
        <v>0</v>
      </c>
      <c r="U100" s="34">
        <f t="shared" si="21"/>
        <v>0</v>
      </c>
      <c r="V100" s="34">
        <f t="shared" si="22"/>
        <v>0</v>
      </c>
      <c r="W100" s="34">
        <f t="shared" si="23"/>
        <v>0</v>
      </c>
      <c r="X100" s="62" t="s">
        <v>37</v>
      </c>
      <c r="Y100" s="62" t="s">
        <v>38</v>
      </c>
      <c r="Z100" s="49" t="s">
        <v>47</v>
      </c>
      <c r="AA100" s="49" t="s">
        <v>265</v>
      </c>
      <c r="AB100" s="49" t="s">
        <v>265</v>
      </c>
      <c r="AC100" s="33" t="s">
        <v>280</v>
      </c>
      <c r="AD100" s="50">
        <f t="shared" si="24"/>
        <v>0.1787878787878788</v>
      </c>
      <c r="AE100" s="51">
        <f t="shared" si="14"/>
        <v>0</v>
      </c>
      <c r="AF100" s="51">
        <f t="shared" si="15"/>
        <v>0</v>
      </c>
      <c r="AG100" s="52">
        <v>4043</v>
      </c>
      <c r="AH100" s="52">
        <v>4042</v>
      </c>
      <c r="AI100" s="52">
        <v>1</v>
      </c>
      <c r="AJ100" s="53" t="s">
        <v>281</v>
      </c>
    </row>
    <row r="101" spans="1:36" ht="15.75" hidden="1" x14ac:dyDescent="0.25">
      <c r="A101" s="33" t="s">
        <v>282</v>
      </c>
      <c r="B101" s="34">
        <v>2600</v>
      </c>
      <c r="C101" s="34"/>
      <c r="D101" s="85">
        <v>181</v>
      </c>
      <c r="E101" s="36" t="str">
        <f t="shared" si="16"/>
        <v/>
      </c>
      <c r="F101" s="37" t="str">
        <f t="shared" si="17"/>
        <v/>
      </c>
      <c r="G101" s="38">
        <f t="shared" si="18"/>
        <v>0</v>
      </c>
      <c r="H101" s="38">
        <f t="shared" si="18"/>
        <v>0</v>
      </c>
      <c r="I101" s="39">
        <v>101</v>
      </c>
      <c r="J101" s="40">
        <f t="shared" si="25"/>
        <v>0.55801104972375692</v>
      </c>
      <c r="K101" s="41">
        <v>45.28</v>
      </c>
      <c r="L101" s="42">
        <v>1.01</v>
      </c>
      <c r="M101" s="39">
        <f t="shared" si="19"/>
        <v>101</v>
      </c>
      <c r="N101" s="40">
        <f t="shared" si="20"/>
        <v>0.55801104972375692</v>
      </c>
      <c r="O101" s="43"/>
      <c r="P101" s="44"/>
      <c r="Q101" s="45"/>
      <c r="R101" s="46"/>
      <c r="S101" s="47"/>
      <c r="T101" s="34">
        <f t="shared" si="13"/>
        <v>0</v>
      </c>
      <c r="U101" s="34">
        <f t="shared" si="21"/>
        <v>0</v>
      </c>
      <c r="V101" s="34">
        <f t="shared" si="22"/>
        <v>0</v>
      </c>
      <c r="W101" s="34">
        <f t="shared" si="23"/>
        <v>0</v>
      </c>
      <c r="X101" s="62" t="s">
        <v>240</v>
      </c>
      <c r="Y101" s="62" t="s">
        <v>38</v>
      </c>
      <c r="Z101" s="49" t="s">
        <v>47</v>
      </c>
      <c r="AA101" s="49" t="s">
        <v>265</v>
      </c>
      <c r="AB101" s="49" t="s">
        <v>265</v>
      </c>
      <c r="AC101" s="49" t="s">
        <v>283</v>
      </c>
      <c r="AD101" s="50">
        <f t="shared" si="24"/>
        <v>0.55801104972375692</v>
      </c>
      <c r="AE101" s="51">
        <f t="shared" si="14"/>
        <v>0</v>
      </c>
      <c r="AF101" s="51">
        <f t="shared" si="15"/>
        <v>0</v>
      </c>
      <c r="AG101" s="52">
        <v>2655</v>
      </c>
      <c r="AH101" s="52">
        <v>2600</v>
      </c>
      <c r="AI101" s="52">
        <v>1</v>
      </c>
      <c r="AJ101" s="53" t="s">
        <v>284</v>
      </c>
    </row>
    <row r="102" spans="1:36" ht="15.75" hidden="1" x14ac:dyDescent="0.25">
      <c r="A102" s="33" t="s">
        <v>285</v>
      </c>
      <c r="B102" s="34">
        <v>1511</v>
      </c>
      <c r="C102" s="34"/>
      <c r="D102" s="35">
        <v>60</v>
      </c>
      <c r="E102" s="36" t="str">
        <f t="shared" si="16"/>
        <v/>
      </c>
      <c r="F102" s="37" t="str">
        <f t="shared" si="17"/>
        <v/>
      </c>
      <c r="G102" s="38">
        <f t="shared" si="18"/>
        <v>0</v>
      </c>
      <c r="H102" s="38">
        <f t="shared" si="18"/>
        <v>0</v>
      </c>
      <c r="I102" s="39">
        <v>23.29</v>
      </c>
      <c r="J102" s="40">
        <f t="shared" si="25"/>
        <v>0.38816666666666666</v>
      </c>
      <c r="K102" s="41">
        <v>-4.67</v>
      </c>
      <c r="L102" s="42">
        <v>0.98199999999999998</v>
      </c>
      <c r="M102" s="39">
        <f t="shared" si="19"/>
        <v>23.29</v>
      </c>
      <c r="N102" s="40">
        <f t="shared" si="20"/>
        <v>0.38816666666666666</v>
      </c>
      <c r="O102" s="43"/>
      <c r="P102" s="44"/>
      <c r="Q102" s="45"/>
      <c r="R102" s="46"/>
      <c r="S102" s="47"/>
      <c r="T102" s="34">
        <f t="shared" si="13"/>
        <v>0</v>
      </c>
      <c r="U102" s="34">
        <f t="shared" si="21"/>
        <v>0</v>
      </c>
      <c r="V102" s="34">
        <f t="shared" si="22"/>
        <v>0</v>
      </c>
      <c r="W102" s="34">
        <f t="shared" si="23"/>
        <v>0</v>
      </c>
      <c r="X102" s="62" t="s">
        <v>286</v>
      </c>
      <c r="Y102" s="62" t="s">
        <v>38</v>
      </c>
      <c r="Z102" s="49" t="s">
        <v>47</v>
      </c>
      <c r="AA102" s="49" t="s">
        <v>287</v>
      </c>
      <c r="AB102" s="33" t="s">
        <v>287</v>
      </c>
      <c r="AC102" s="33" t="s">
        <v>249</v>
      </c>
      <c r="AD102" s="50">
        <f t="shared" si="24"/>
        <v>0.38816666666666666</v>
      </c>
      <c r="AE102" s="51">
        <f t="shared" si="14"/>
        <v>0</v>
      </c>
      <c r="AF102" s="51">
        <f t="shared" si="15"/>
        <v>0</v>
      </c>
      <c r="AG102" s="52">
        <v>1595</v>
      </c>
      <c r="AH102" s="52">
        <v>1511</v>
      </c>
      <c r="AI102" s="52">
        <v>1</v>
      </c>
      <c r="AJ102" s="53" t="s">
        <v>288</v>
      </c>
    </row>
    <row r="103" spans="1:36" ht="15.75" hidden="1" x14ac:dyDescent="0.25">
      <c r="A103" s="33" t="s">
        <v>289</v>
      </c>
      <c r="B103" s="34">
        <v>4064</v>
      </c>
      <c r="C103" s="34"/>
      <c r="D103" s="35">
        <v>378</v>
      </c>
      <c r="E103" s="36" t="str">
        <f t="shared" si="16"/>
        <v/>
      </c>
      <c r="F103" s="37" t="str">
        <f t="shared" si="17"/>
        <v/>
      </c>
      <c r="G103" s="38">
        <f t="shared" si="18"/>
        <v>0</v>
      </c>
      <c r="H103" s="38">
        <f t="shared" si="18"/>
        <v>0</v>
      </c>
      <c r="I103" s="39">
        <v>120.7</v>
      </c>
      <c r="J103" s="40">
        <f t="shared" si="25"/>
        <v>0.31931216931216932</v>
      </c>
      <c r="K103" s="41">
        <v>-2.54</v>
      </c>
      <c r="L103" s="42">
        <v>1</v>
      </c>
      <c r="M103" s="39">
        <f t="shared" si="19"/>
        <v>120.7</v>
      </c>
      <c r="N103" s="40">
        <f t="shared" si="20"/>
        <v>0.31931216931216932</v>
      </c>
      <c r="O103" s="43"/>
      <c r="P103" s="44"/>
      <c r="Q103" s="45"/>
      <c r="R103" s="46"/>
      <c r="S103" s="47"/>
      <c r="T103" s="34">
        <f t="shared" si="13"/>
        <v>0</v>
      </c>
      <c r="U103" s="34">
        <f t="shared" si="21"/>
        <v>0</v>
      </c>
      <c r="V103" s="34">
        <f t="shared" si="22"/>
        <v>0</v>
      </c>
      <c r="W103" s="34">
        <f t="shared" si="23"/>
        <v>0</v>
      </c>
      <c r="X103" s="62" t="s">
        <v>37</v>
      </c>
      <c r="Y103" s="62" t="s">
        <v>38</v>
      </c>
      <c r="Z103" s="49" t="s">
        <v>39</v>
      </c>
      <c r="AA103" s="49" t="s">
        <v>290</v>
      </c>
      <c r="AB103" s="33" t="s">
        <v>290</v>
      </c>
      <c r="AC103" s="33" t="s">
        <v>291</v>
      </c>
      <c r="AD103" s="50">
        <f t="shared" si="24"/>
        <v>0.31931216931216932</v>
      </c>
      <c r="AE103" s="51">
        <f t="shared" si="14"/>
        <v>0</v>
      </c>
      <c r="AF103" s="51">
        <f t="shared" si="15"/>
        <v>0</v>
      </c>
      <c r="AG103" s="52">
        <v>4065</v>
      </c>
      <c r="AH103" s="52">
        <v>4064</v>
      </c>
      <c r="AI103" s="52">
        <v>1</v>
      </c>
      <c r="AJ103" s="53" t="s">
        <v>292</v>
      </c>
    </row>
    <row r="104" spans="1:36" ht="15.75" hidden="1" x14ac:dyDescent="0.25">
      <c r="A104" s="33" t="s">
        <v>293</v>
      </c>
      <c r="B104" s="34">
        <v>5975</v>
      </c>
      <c r="C104" s="34"/>
      <c r="D104" s="35">
        <v>450</v>
      </c>
      <c r="E104" s="36" t="str">
        <f t="shared" si="16"/>
        <v/>
      </c>
      <c r="F104" s="37" t="str">
        <f t="shared" si="17"/>
        <v/>
      </c>
      <c r="G104" s="38">
        <f t="shared" si="18"/>
        <v>0</v>
      </c>
      <c r="H104" s="38">
        <f t="shared" si="18"/>
        <v>0</v>
      </c>
      <c r="I104" s="39">
        <v>0</v>
      </c>
      <c r="J104" s="40">
        <f t="shared" si="25"/>
        <v>0</v>
      </c>
      <c r="K104" s="41">
        <v>0</v>
      </c>
      <c r="L104" s="42">
        <v>1.01</v>
      </c>
      <c r="M104" s="39">
        <f t="shared" si="19"/>
        <v>0</v>
      </c>
      <c r="N104" s="40">
        <f t="shared" si="20"/>
        <v>0</v>
      </c>
      <c r="O104" s="43"/>
      <c r="P104" s="44"/>
      <c r="Q104" s="45"/>
      <c r="R104" s="46"/>
      <c r="S104" s="47"/>
      <c r="T104" s="34">
        <f t="shared" si="13"/>
        <v>0</v>
      </c>
      <c r="U104" s="34">
        <f t="shared" si="21"/>
        <v>0</v>
      </c>
      <c r="V104" s="34">
        <f t="shared" si="22"/>
        <v>0</v>
      </c>
      <c r="W104" s="34">
        <f t="shared" si="23"/>
        <v>0</v>
      </c>
      <c r="X104" s="48" t="s">
        <v>294</v>
      </c>
      <c r="Y104" s="48" t="s">
        <v>295</v>
      </c>
      <c r="Z104" s="49" t="s">
        <v>47</v>
      </c>
      <c r="AA104" s="49" t="s">
        <v>290</v>
      </c>
      <c r="AB104" s="33" t="s">
        <v>290</v>
      </c>
      <c r="AC104" s="33" t="s">
        <v>296</v>
      </c>
      <c r="AD104" s="50">
        <f t="shared" si="24"/>
        <v>0</v>
      </c>
      <c r="AE104" s="51">
        <f t="shared" si="14"/>
        <v>0</v>
      </c>
      <c r="AF104" s="51">
        <f t="shared" si="15"/>
        <v>0</v>
      </c>
      <c r="AG104" s="52">
        <v>5970</v>
      </c>
      <c r="AH104" s="52">
        <v>5975</v>
      </c>
      <c r="AI104" s="52">
        <v>1</v>
      </c>
      <c r="AJ104" s="53" t="s">
        <v>297</v>
      </c>
    </row>
    <row r="105" spans="1:36" ht="15.75" hidden="1" x14ac:dyDescent="0.25">
      <c r="A105" s="33" t="s">
        <v>298</v>
      </c>
      <c r="B105" s="34">
        <v>5888</v>
      </c>
      <c r="C105" s="34"/>
      <c r="D105" s="35">
        <v>162</v>
      </c>
      <c r="E105" s="36" t="str">
        <f t="shared" si="16"/>
        <v/>
      </c>
      <c r="F105" s="37" t="str">
        <f t="shared" si="17"/>
        <v/>
      </c>
      <c r="G105" s="38">
        <f t="shared" si="18"/>
        <v>0</v>
      </c>
      <c r="H105" s="38">
        <f t="shared" si="18"/>
        <v>0</v>
      </c>
      <c r="I105" s="39">
        <v>0</v>
      </c>
      <c r="J105" s="40">
        <f t="shared" si="25"/>
        <v>0</v>
      </c>
      <c r="K105" s="41">
        <v>0</v>
      </c>
      <c r="L105" s="42">
        <v>1</v>
      </c>
      <c r="M105" s="39">
        <f t="shared" si="19"/>
        <v>0</v>
      </c>
      <c r="N105" s="40">
        <f t="shared" si="20"/>
        <v>0</v>
      </c>
      <c r="O105" s="43"/>
      <c r="P105" s="44"/>
      <c r="Q105" s="45"/>
      <c r="R105" s="46"/>
      <c r="S105" s="47"/>
      <c r="T105" s="34">
        <f t="shared" si="13"/>
        <v>0</v>
      </c>
      <c r="U105" s="34">
        <f t="shared" si="21"/>
        <v>0</v>
      </c>
      <c r="V105" s="34">
        <f t="shared" si="22"/>
        <v>0</v>
      </c>
      <c r="W105" s="34">
        <f t="shared" si="23"/>
        <v>0</v>
      </c>
      <c r="X105" s="48" t="s">
        <v>294</v>
      </c>
      <c r="Y105" s="48" t="s">
        <v>295</v>
      </c>
      <c r="Z105" s="49" t="s">
        <v>39</v>
      </c>
      <c r="AA105" s="49" t="s">
        <v>299</v>
      </c>
      <c r="AB105" s="33" t="s">
        <v>299</v>
      </c>
      <c r="AC105" s="33" t="s">
        <v>296</v>
      </c>
      <c r="AD105" s="50">
        <f t="shared" si="24"/>
        <v>0</v>
      </c>
      <c r="AE105" s="51">
        <f t="shared" si="14"/>
        <v>0</v>
      </c>
      <c r="AF105" s="51">
        <f t="shared" si="15"/>
        <v>0</v>
      </c>
      <c r="AG105" s="52">
        <v>5882</v>
      </c>
      <c r="AH105" s="52">
        <v>5888</v>
      </c>
      <c r="AI105" s="52">
        <v>1</v>
      </c>
      <c r="AJ105" s="53" t="s">
        <v>300</v>
      </c>
    </row>
    <row r="106" spans="1:36" ht="15.75" hidden="1" x14ac:dyDescent="0.25">
      <c r="A106" s="33" t="s">
        <v>301</v>
      </c>
      <c r="B106" s="34">
        <v>4039</v>
      </c>
      <c r="C106" s="34"/>
      <c r="D106" s="35">
        <v>105</v>
      </c>
      <c r="E106" s="36" t="str">
        <f t="shared" si="16"/>
        <v/>
      </c>
      <c r="F106" s="37" t="str">
        <f t="shared" si="17"/>
        <v/>
      </c>
      <c r="G106" s="38">
        <f t="shared" si="18"/>
        <v>0</v>
      </c>
      <c r="H106" s="38">
        <f t="shared" si="18"/>
        <v>0</v>
      </c>
      <c r="I106" s="39">
        <v>100.5</v>
      </c>
      <c r="J106" s="40">
        <f t="shared" si="25"/>
        <v>0.95714285714285718</v>
      </c>
      <c r="K106" s="41">
        <v>-19.600000000000001</v>
      </c>
      <c r="L106" s="42">
        <v>0.95799999999999996</v>
      </c>
      <c r="M106" s="39">
        <f t="shared" si="19"/>
        <v>100.5</v>
      </c>
      <c r="N106" s="40">
        <f t="shared" si="20"/>
        <v>0.95714285714285718</v>
      </c>
      <c r="O106" s="43"/>
      <c r="P106" s="44"/>
      <c r="Q106" s="45"/>
      <c r="R106" s="46"/>
      <c r="S106" s="47"/>
      <c r="T106" s="34">
        <f t="shared" si="13"/>
        <v>0</v>
      </c>
      <c r="U106" s="34">
        <f t="shared" si="21"/>
        <v>0</v>
      </c>
      <c r="V106" s="34">
        <f t="shared" si="22"/>
        <v>0</v>
      </c>
      <c r="W106" s="34">
        <f t="shared" si="23"/>
        <v>0</v>
      </c>
      <c r="X106" s="62" t="s">
        <v>37</v>
      </c>
      <c r="Y106" s="62" t="s">
        <v>38</v>
      </c>
      <c r="Z106" s="49" t="s">
        <v>39</v>
      </c>
      <c r="AA106" s="49" t="s">
        <v>302</v>
      </c>
      <c r="AB106" s="33" t="s">
        <v>303</v>
      </c>
      <c r="AC106" s="33" t="s">
        <v>291</v>
      </c>
      <c r="AD106" s="50">
        <f t="shared" si="24"/>
        <v>0.95714285714285718</v>
      </c>
      <c r="AE106" s="51">
        <f t="shared" si="14"/>
        <v>0</v>
      </c>
      <c r="AF106" s="51">
        <f t="shared" si="15"/>
        <v>0</v>
      </c>
      <c r="AG106" s="52">
        <v>4041</v>
      </c>
      <c r="AH106" s="52">
        <v>4039</v>
      </c>
      <c r="AI106" s="52">
        <v>1</v>
      </c>
      <c r="AJ106" s="53" t="s">
        <v>304</v>
      </c>
    </row>
    <row r="107" spans="1:36" ht="15.75" hidden="1" x14ac:dyDescent="0.25">
      <c r="A107" s="86" t="s">
        <v>305</v>
      </c>
      <c r="B107" s="87">
        <v>4068</v>
      </c>
      <c r="C107" s="87"/>
      <c r="D107" s="88">
        <v>87</v>
      </c>
      <c r="E107" s="36" t="str">
        <f t="shared" si="16"/>
        <v/>
      </c>
      <c r="F107" s="37" t="str">
        <f t="shared" si="17"/>
        <v/>
      </c>
      <c r="G107" s="89">
        <f t="shared" si="18"/>
        <v>0</v>
      </c>
      <c r="H107" s="89">
        <f t="shared" si="18"/>
        <v>0</v>
      </c>
      <c r="I107" s="90">
        <v>25.64</v>
      </c>
      <c r="J107" s="91">
        <f t="shared" si="25"/>
        <v>0.29471264367816091</v>
      </c>
      <c r="K107" s="92">
        <v>-4.4000000000000004</v>
      </c>
      <c r="L107" s="93">
        <v>0.998</v>
      </c>
      <c r="M107" s="94">
        <f t="shared" si="19"/>
        <v>25.64</v>
      </c>
      <c r="N107" s="91">
        <f t="shared" si="20"/>
        <v>0.29471264367816091</v>
      </c>
      <c r="O107" s="95"/>
      <c r="P107" s="96"/>
      <c r="Q107" s="97"/>
      <c r="R107" s="98"/>
      <c r="S107" s="99"/>
      <c r="T107" s="87">
        <f t="shared" si="13"/>
        <v>0</v>
      </c>
      <c r="U107" s="87">
        <f t="shared" si="21"/>
        <v>0</v>
      </c>
      <c r="V107" s="87">
        <f t="shared" si="22"/>
        <v>0</v>
      </c>
      <c r="W107" s="87">
        <f t="shared" si="23"/>
        <v>0</v>
      </c>
      <c r="X107" s="100" t="s">
        <v>37</v>
      </c>
      <c r="Y107" s="100" t="s">
        <v>38</v>
      </c>
      <c r="Z107" s="101" t="s">
        <v>39</v>
      </c>
      <c r="AA107" s="101" t="s">
        <v>306</v>
      </c>
      <c r="AB107" s="86" t="s">
        <v>303</v>
      </c>
      <c r="AC107" s="86" t="s">
        <v>291</v>
      </c>
      <c r="AD107" s="102">
        <f t="shared" si="24"/>
        <v>0.29471264367816091</v>
      </c>
      <c r="AE107" s="103">
        <f t="shared" si="14"/>
        <v>0</v>
      </c>
      <c r="AF107" s="103">
        <f t="shared" si="15"/>
        <v>0</v>
      </c>
      <c r="AG107" s="104">
        <v>4069</v>
      </c>
      <c r="AH107" s="104">
        <v>4068</v>
      </c>
      <c r="AI107" s="104">
        <v>1</v>
      </c>
      <c r="AJ107" s="105" t="s">
        <v>307</v>
      </c>
    </row>
    <row r="108" spans="1:36" ht="15.75" hidden="1" x14ac:dyDescent="0.25">
      <c r="A108" s="33" t="s">
        <v>308</v>
      </c>
      <c r="B108" s="34">
        <v>304</v>
      </c>
      <c r="C108" s="34"/>
      <c r="D108" s="35">
        <v>390</v>
      </c>
      <c r="E108" s="36" t="str">
        <f t="shared" si="16"/>
        <v/>
      </c>
      <c r="F108" s="37" t="str">
        <f t="shared" si="17"/>
        <v/>
      </c>
      <c r="G108" s="38">
        <f t="shared" si="18"/>
        <v>0</v>
      </c>
      <c r="H108" s="38">
        <f t="shared" si="18"/>
        <v>0</v>
      </c>
      <c r="I108" s="39">
        <v>137.80000000000001</v>
      </c>
      <c r="J108" s="40">
        <f t="shared" si="25"/>
        <v>0.35333333333333339</v>
      </c>
      <c r="K108" s="41">
        <v>2.056</v>
      </c>
      <c r="L108" s="42">
        <v>0.996</v>
      </c>
      <c r="M108" s="39">
        <f t="shared" si="19"/>
        <v>137.80000000000001</v>
      </c>
      <c r="N108" s="40">
        <f t="shared" si="20"/>
        <v>0.35333333333333339</v>
      </c>
      <c r="O108" s="43"/>
      <c r="P108" s="44"/>
      <c r="Q108" s="45"/>
      <c r="R108" s="46"/>
      <c r="S108" s="47"/>
      <c r="T108" s="34">
        <f t="shared" si="13"/>
        <v>0</v>
      </c>
      <c r="U108" s="34">
        <f t="shared" si="21"/>
        <v>0</v>
      </c>
      <c r="V108" s="34">
        <f t="shared" si="22"/>
        <v>0</v>
      </c>
      <c r="W108" s="34">
        <f t="shared" si="23"/>
        <v>0</v>
      </c>
      <c r="X108" s="62" t="s">
        <v>37</v>
      </c>
      <c r="Y108" s="62" t="s">
        <v>38</v>
      </c>
      <c r="Z108" s="49" t="s">
        <v>39</v>
      </c>
      <c r="AA108" s="49" t="s">
        <v>303</v>
      </c>
      <c r="AB108" s="33" t="s">
        <v>303</v>
      </c>
      <c r="AC108" s="33" t="s">
        <v>291</v>
      </c>
      <c r="AD108" s="50">
        <f t="shared" si="24"/>
        <v>0.35333333333333339</v>
      </c>
      <c r="AE108" s="51">
        <f t="shared" si="14"/>
        <v>0</v>
      </c>
      <c r="AF108" s="51">
        <f t="shared" si="15"/>
        <v>0</v>
      </c>
      <c r="AG108" s="52">
        <v>381</v>
      </c>
      <c r="AH108" s="52">
        <v>304</v>
      </c>
      <c r="AI108" s="52">
        <v>1</v>
      </c>
      <c r="AJ108" s="53" t="s">
        <v>309</v>
      </c>
    </row>
    <row r="109" spans="1:36" ht="15.75" hidden="1" x14ac:dyDescent="0.25">
      <c r="A109" s="33" t="s">
        <v>310</v>
      </c>
      <c r="B109" s="34">
        <v>6294</v>
      </c>
      <c r="C109" s="34"/>
      <c r="D109" s="35">
        <v>1050</v>
      </c>
      <c r="E109" s="36" t="str">
        <f t="shared" si="16"/>
        <v/>
      </c>
      <c r="F109" s="37" t="str">
        <f t="shared" si="17"/>
        <v/>
      </c>
      <c r="G109" s="38">
        <f t="shared" si="18"/>
        <v>0</v>
      </c>
      <c r="H109" s="38">
        <f t="shared" si="18"/>
        <v>0</v>
      </c>
      <c r="I109" s="39">
        <v>176</v>
      </c>
      <c r="J109" s="40">
        <f t="shared" si="25"/>
        <v>0.16761904761904761</v>
      </c>
      <c r="K109" s="41">
        <v>-118</v>
      </c>
      <c r="L109" s="42">
        <v>0.995</v>
      </c>
      <c r="M109" s="39">
        <f t="shared" si="19"/>
        <v>176</v>
      </c>
      <c r="N109" s="40">
        <f t="shared" si="20"/>
        <v>0.16761904761904761</v>
      </c>
      <c r="O109" s="43"/>
      <c r="P109" s="44"/>
      <c r="Q109" s="45"/>
      <c r="R109" s="46"/>
      <c r="S109" s="47"/>
      <c r="T109" s="34">
        <f t="shared" si="13"/>
        <v>0</v>
      </c>
      <c r="U109" s="34">
        <f t="shared" si="21"/>
        <v>0</v>
      </c>
      <c r="V109" s="34">
        <f t="shared" si="22"/>
        <v>0</v>
      </c>
      <c r="W109" s="34">
        <f t="shared" si="23"/>
        <v>0</v>
      </c>
      <c r="X109" s="48" t="s">
        <v>294</v>
      </c>
      <c r="Y109" s="48" t="s">
        <v>295</v>
      </c>
      <c r="Z109" s="49" t="s">
        <v>39</v>
      </c>
      <c r="AA109" s="49" t="s">
        <v>303</v>
      </c>
      <c r="AB109" s="33" t="s">
        <v>303</v>
      </c>
      <c r="AC109" s="33" t="s">
        <v>311</v>
      </c>
      <c r="AD109" s="50">
        <f t="shared" si="24"/>
        <v>0.16761904761904761</v>
      </c>
      <c r="AE109" s="51">
        <f t="shared" si="14"/>
        <v>0</v>
      </c>
      <c r="AF109" s="51">
        <f t="shared" si="15"/>
        <v>0</v>
      </c>
      <c r="AG109" s="52">
        <v>6300</v>
      </c>
      <c r="AH109" s="52">
        <v>6294</v>
      </c>
      <c r="AI109" s="52">
        <v>1</v>
      </c>
      <c r="AJ109" s="53" t="s">
        <v>312</v>
      </c>
    </row>
    <row r="110" spans="1:36" ht="15.75" hidden="1" x14ac:dyDescent="0.25">
      <c r="A110" s="33" t="s">
        <v>313</v>
      </c>
      <c r="B110" s="34">
        <v>5051</v>
      </c>
      <c r="C110" s="34"/>
      <c r="D110" s="35">
        <v>750</v>
      </c>
      <c r="E110" s="36" t="str">
        <f t="shared" si="16"/>
        <v/>
      </c>
      <c r="F110" s="37" t="str">
        <f t="shared" si="17"/>
        <v/>
      </c>
      <c r="G110" s="38">
        <f t="shared" si="18"/>
        <v>0</v>
      </c>
      <c r="H110" s="38">
        <f t="shared" si="18"/>
        <v>0</v>
      </c>
      <c r="I110" s="39">
        <v>176</v>
      </c>
      <c r="J110" s="40">
        <f t="shared" si="25"/>
        <v>0.23466666666666666</v>
      </c>
      <c r="K110" s="41">
        <v>-102</v>
      </c>
      <c r="L110" s="42">
        <v>1</v>
      </c>
      <c r="M110" s="39">
        <f t="shared" si="19"/>
        <v>176</v>
      </c>
      <c r="N110" s="40">
        <f t="shared" si="20"/>
        <v>0.23466666666666666</v>
      </c>
      <c r="O110" s="43"/>
      <c r="P110" s="44"/>
      <c r="Q110" s="45"/>
      <c r="R110" s="46"/>
      <c r="S110" s="47"/>
      <c r="T110" s="34">
        <f t="shared" si="13"/>
        <v>0</v>
      </c>
      <c r="U110" s="34">
        <f t="shared" si="21"/>
        <v>0</v>
      </c>
      <c r="V110" s="34">
        <f t="shared" si="22"/>
        <v>0</v>
      </c>
      <c r="W110" s="34">
        <f t="shared" si="23"/>
        <v>0</v>
      </c>
      <c r="X110" s="48" t="s">
        <v>314</v>
      </c>
      <c r="Y110" s="48" t="s">
        <v>295</v>
      </c>
      <c r="Z110" s="49" t="s">
        <v>39</v>
      </c>
      <c r="AA110" s="49" t="s">
        <v>303</v>
      </c>
      <c r="AB110" s="33" t="s">
        <v>303</v>
      </c>
      <c r="AC110" s="33" t="s">
        <v>311</v>
      </c>
      <c r="AD110" s="50">
        <f t="shared" si="24"/>
        <v>0.23466666666666666</v>
      </c>
      <c r="AE110" s="51">
        <f t="shared" si="14"/>
        <v>0</v>
      </c>
      <c r="AF110" s="51">
        <f t="shared" si="15"/>
        <v>0</v>
      </c>
      <c r="AG110" s="52">
        <v>5050</v>
      </c>
      <c r="AH110" s="52">
        <v>5051</v>
      </c>
      <c r="AI110" s="52">
        <v>1</v>
      </c>
      <c r="AJ110" s="53" t="s">
        <v>315</v>
      </c>
    </row>
    <row r="111" spans="1:36" ht="15.75" hidden="1" x14ac:dyDescent="0.25">
      <c r="A111" s="33" t="s">
        <v>316</v>
      </c>
      <c r="B111" s="34">
        <v>5054</v>
      </c>
      <c r="C111" s="34"/>
      <c r="D111" s="35">
        <v>750</v>
      </c>
      <c r="E111" s="36" t="str">
        <f t="shared" si="16"/>
        <v/>
      </c>
      <c r="F111" s="37" t="str">
        <f t="shared" si="17"/>
        <v/>
      </c>
      <c r="G111" s="38">
        <f t="shared" si="18"/>
        <v>0</v>
      </c>
      <c r="H111" s="38">
        <f t="shared" si="18"/>
        <v>0</v>
      </c>
      <c r="I111" s="39">
        <v>176</v>
      </c>
      <c r="J111" s="40">
        <f t="shared" si="25"/>
        <v>0.23466666666666666</v>
      </c>
      <c r="K111" s="41">
        <v>-102</v>
      </c>
      <c r="L111" s="42">
        <v>1</v>
      </c>
      <c r="M111" s="39">
        <f t="shared" si="19"/>
        <v>176</v>
      </c>
      <c r="N111" s="40">
        <f t="shared" si="20"/>
        <v>0.23466666666666666</v>
      </c>
      <c r="O111" s="43"/>
      <c r="P111" s="44"/>
      <c r="Q111" s="45"/>
      <c r="R111" s="46"/>
      <c r="S111" s="47"/>
      <c r="T111" s="34">
        <f t="shared" si="13"/>
        <v>0</v>
      </c>
      <c r="U111" s="34">
        <f t="shared" si="21"/>
        <v>0</v>
      </c>
      <c r="V111" s="34">
        <f t="shared" si="22"/>
        <v>0</v>
      </c>
      <c r="W111" s="34">
        <f t="shared" si="23"/>
        <v>0</v>
      </c>
      <c r="X111" s="48" t="s">
        <v>314</v>
      </c>
      <c r="Y111" s="48" t="s">
        <v>295</v>
      </c>
      <c r="Z111" s="49" t="s">
        <v>39</v>
      </c>
      <c r="AA111" s="49" t="s">
        <v>303</v>
      </c>
      <c r="AB111" s="33" t="s">
        <v>303</v>
      </c>
      <c r="AC111" s="33" t="s">
        <v>311</v>
      </c>
      <c r="AD111" s="50">
        <f t="shared" si="24"/>
        <v>0.23466666666666666</v>
      </c>
      <c r="AE111" s="51">
        <f t="shared" si="14"/>
        <v>0</v>
      </c>
      <c r="AF111" s="51">
        <f t="shared" si="15"/>
        <v>0</v>
      </c>
      <c r="AG111" s="52">
        <v>5050</v>
      </c>
      <c r="AH111" s="52">
        <v>5054</v>
      </c>
      <c r="AI111" s="52">
        <v>1</v>
      </c>
      <c r="AJ111" s="53" t="s">
        <v>317</v>
      </c>
    </row>
    <row r="112" spans="1:36" ht="15.75" hidden="1" x14ac:dyDescent="0.25">
      <c r="A112" s="33" t="s">
        <v>318</v>
      </c>
      <c r="B112" s="34">
        <v>5030</v>
      </c>
      <c r="C112" s="34"/>
      <c r="D112" s="35">
        <v>200</v>
      </c>
      <c r="E112" s="36" t="str">
        <f t="shared" si="16"/>
        <v/>
      </c>
      <c r="F112" s="37" t="str">
        <f t="shared" si="17"/>
        <v/>
      </c>
      <c r="G112" s="38">
        <f t="shared" si="18"/>
        <v>0</v>
      </c>
      <c r="H112" s="38">
        <f t="shared" si="18"/>
        <v>0</v>
      </c>
      <c r="I112" s="39">
        <v>0</v>
      </c>
      <c r="J112" s="40">
        <f t="shared" si="25"/>
        <v>0</v>
      </c>
      <c r="K112" s="41">
        <v>0</v>
      </c>
      <c r="L112" s="42">
        <v>1</v>
      </c>
      <c r="M112" s="39">
        <f t="shared" si="19"/>
        <v>0</v>
      </c>
      <c r="N112" s="40">
        <f t="shared" si="20"/>
        <v>0</v>
      </c>
      <c r="O112" s="43"/>
      <c r="P112" s="44"/>
      <c r="Q112" s="45"/>
      <c r="R112" s="46"/>
      <c r="S112" s="47"/>
      <c r="T112" s="34">
        <f t="shared" si="13"/>
        <v>0</v>
      </c>
      <c r="U112" s="34">
        <f t="shared" si="21"/>
        <v>0</v>
      </c>
      <c r="V112" s="34">
        <f t="shared" si="22"/>
        <v>0</v>
      </c>
      <c r="W112" s="34">
        <f t="shared" si="23"/>
        <v>0</v>
      </c>
      <c r="X112" s="48" t="s">
        <v>294</v>
      </c>
      <c r="Y112" s="48" t="s">
        <v>295</v>
      </c>
      <c r="Z112" s="49" t="s">
        <v>47</v>
      </c>
      <c r="AA112" s="49" t="s">
        <v>303</v>
      </c>
      <c r="AB112" s="33" t="s">
        <v>303</v>
      </c>
      <c r="AC112" s="33" t="s">
        <v>296</v>
      </c>
      <c r="AD112" s="50">
        <f t="shared" si="24"/>
        <v>0</v>
      </c>
      <c r="AE112" s="51">
        <f t="shared" si="14"/>
        <v>0</v>
      </c>
      <c r="AF112" s="51">
        <f t="shared" si="15"/>
        <v>0</v>
      </c>
      <c r="AG112" s="52">
        <v>5029</v>
      </c>
      <c r="AH112" s="52">
        <v>5030</v>
      </c>
      <c r="AI112" s="52">
        <v>1</v>
      </c>
      <c r="AJ112" s="53" t="s">
        <v>319</v>
      </c>
    </row>
    <row r="113" spans="1:36" ht="15.75" hidden="1" x14ac:dyDescent="0.25">
      <c r="A113" s="33" t="s">
        <v>320</v>
      </c>
      <c r="B113" s="34">
        <v>5032</v>
      </c>
      <c r="C113" s="34"/>
      <c r="D113" s="35">
        <v>200</v>
      </c>
      <c r="E113" s="36" t="str">
        <f t="shared" si="16"/>
        <v/>
      </c>
      <c r="F113" s="37" t="str">
        <f t="shared" si="17"/>
        <v/>
      </c>
      <c r="G113" s="38">
        <f t="shared" si="18"/>
        <v>0</v>
      </c>
      <c r="H113" s="38">
        <f t="shared" si="18"/>
        <v>0</v>
      </c>
      <c r="I113" s="39">
        <v>0</v>
      </c>
      <c r="J113" s="40">
        <f t="shared" si="25"/>
        <v>0</v>
      </c>
      <c r="K113" s="41">
        <v>0</v>
      </c>
      <c r="L113" s="42">
        <v>1</v>
      </c>
      <c r="M113" s="39">
        <f t="shared" si="19"/>
        <v>0</v>
      </c>
      <c r="N113" s="40">
        <f t="shared" si="20"/>
        <v>0</v>
      </c>
      <c r="O113" s="43"/>
      <c r="P113" s="44"/>
      <c r="Q113" s="45"/>
      <c r="R113" s="46"/>
      <c r="S113" s="47"/>
      <c r="T113" s="34">
        <f t="shared" si="13"/>
        <v>0</v>
      </c>
      <c r="U113" s="34">
        <f t="shared" si="21"/>
        <v>0</v>
      </c>
      <c r="V113" s="34">
        <f t="shared" si="22"/>
        <v>0</v>
      </c>
      <c r="W113" s="34">
        <f t="shared" si="23"/>
        <v>0</v>
      </c>
      <c r="X113" s="48" t="s">
        <v>294</v>
      </c>
      <c r="Y113" s="48" t="s">
        <v>295</v>
      </c>
      <c r="Z113" s="49" t="s">
        <v>47</v>
      </c>
      <c r="AA113" s="49" t="s">
        <v>303</v>
      </c>
      <c r="AB113" s="33" t="s">
        <v>303</v>
      </c>
      <c r="AC113" s="33" t="s">
        <v>296</v>
      </c>
      <c r="AD113" s="50">
        <f t="shared" si="24"/>
        <v>0</v>
      </c>
      <c r="AE113" s="51">
        <f t="shared" si="14"/>
        <v>0</v>
      </c>
      <c r="AF113" s="51">
        <f t="shared" si="15"/>
        <v>0</v>
      </c>
      <c r="AG113" s="52">
        <v>5028</v>
      </c>
      <c r="AH113" s="52">
        <v>5032</v>
      </c>
      <c r="AI113" s="52">
        <v>1</v>
      </c>
      <c r="AJ113" s="53" t="s">
        <v>321</v>
      </c>
    </row>
    <row r="114" spans="1:36" ht="15.75" hidden="1" x14ac:dyDescent="0.25">
      <c r="A114" s="33" t="s">
        <v>322</v>
      </c>
      <c r="B114" s="34">
        <v>5006</v>
      </c>
      <c r="C114" s="34"/>
      <c r="D114" s="35">
        <v>180</v>
      </c>
      <c r="E114" s="36" t="str">
        <f t="shared" si="16"/>
        <v/>
      </c>
      <c r="F114" s="37" t="str">
        <f t="shared" si="17"/>
        <v/>
      </c>
      <c r="G114" s="38">
        <f t="shared" si="18"/>
        <v>0</v>
      </c>
      <c r="H114" s="38">
        <f t="shared" si="18"/>
        <v>0</v>
      </c>
      <c r="I114" s="39">
        <v>0</v>
      </c>
      <c r="J114" s="40">
        <f t="shared" si="25"/>
        <v>0</v>
      </c>
      <c r="K114" s="41">
        <v>0</v>
      </c>
      <c r="L114" s="42">
        <v>1.04</v>
      </c>
      <c r="M114" s="39">
        <f t="shared" si="19"/>
        <v>0</v>
      </c>
      <c r="N114" s="40">
        <f t="shared" si="20"/>
        <v>0</v>
      </c>
      <c r="O114" s="43"/>
      <c r="P114" s="44"/>
      <c r="Q114" s="45"/>
      <c r="R114" s="46"/>
      <c r="S114" s="47"/>
      <c r="T114" s="34">
        <f t="shared" si="13"/>
        <v>0</v>
      </c>
      <c r="U114" s="34">
        <f t="shared" si="21"/>
        <v>0</v>
      </c>
      <c r="V114" s="34">
        <f t="shared" si="22"/>
        <v>0</v>
      </c>
      <c r="W114" s="34">
        <f t="shared" si="23"/>
        <v>0</v>
      </c>
      <c r="X114" s="48" t="s">
        <v>294</v>
      </c>
      <c r="Y114" s="48" t="s">
        <v>295</v>
      </c>
      <c r="Z114" s="49" t="s">
        <v>47</v>
      </c>
      <c r="AA114" s="49" t="s">
        <v>303</v>
      </c>
      <c r="AB114" s="33" t="s">
        <v>303</v>
      </c>
      <c r="AC114" s="33" t="s">
        <v>296</v>
      </c>
      <c r="AD114" s="50">
        <f t="shared" si="24"/>
        <v>0</v>
      </c>
      <c r="AE114" s="51">
        <f t="shared" si="14"/>
        <v>0</v>
      </c>
      <c r="AF114" s="51">
        <f t="shared" si="15"/>
        <v>0</v>
      </c>
      <c r="AG114" s="52">
        <v>5004</v>
      </c>
      <c r="AH114" s="52">
        <v>5006</v>
      </c>
      <c r="AI114" s="52">
        <v>1</v>
      </c>
      <c r="AJ114" s="53" t="s">
        <v>323</v>
      </c>
    </row>
    <row r="115" spans="1:36" ht="15.75" hidden="1" x14ac:dyDescent="0.25">
      <c r="A115" s="33" t="s">
        <v>324</v>
      </c>
      <c r="B115" s="34">
        <v>5009</v>
      </c>
      <c r="C115" s="34"/>
      <c r="D115" s="35">
        <v>70</v>
      </c>
      <c r="E115" s="36" t="str">
        <f t="shared" si="16"/>
        <v/>
      </c>
      <c r="F115" s="37" t="str">
        <f t="shared" si="17"/>
        <v/>
      </c>
      <c r="G115" s="38">
        <f t="shared" si="18"/>
        <v>0</v>
      </c>
      <c r="H115" s="38">
        <f t="shared" si="18"/>
        <v>0</v>
      </c>
      <c r="I115" s="39">
        <v>0</v>
      </c>
      <c r="J115" s="40">
        <f t="shared" si="25"/>
        <v>0</v>
      </c>
      <c r="K115" s="41">
        <v>0</v>
      </c>
      <c r="L115" s="42">
        <v>1.04</v>
      </c>
      <c r="M115" s="39">
        <f t="shared" si="19"/>
        <v>0</v>
      </c>
      <c r="N115" s="40">
        <f t="shared" si="20"/>
        <v>0</v>
      </c>
      <c r="O115" s="43"/>
      <c r="P115" s="44"/>
      <c r="Q115" s="45"/>
      <c r="R115" s="46"/>
      <c r="S115" s="47"/>
      <c r="T115" s="34">
        <f t="shared" si="13"/>
        <v>0</v>
      </c>
      <c r="U115" s="34">
        <f t="shared" si="21"/>
        <v>0</v>
      </c>
      <c r="V115" s="34">
        <f t="shared" si="22"/>
        <v>0</v>
      </c>
      <c r="W115" s="34">
        <f t="shared" si="23"/>
        <v>0</v>
      </c>
      <c r="X115" s="48" t="s">
        <v>294</v>
      </c>
      <c r="Y115" s="48" t="s">
        <v>295</v>
      </c>
      <c r="Z115" s="49" t="s">
        <v>47</v>
      </c>
      <c r="AA115" s="49" t="s">
        <v>303</v>
      </c>
      <c r="AB115" s="33" t="s">
        <v>303</v>
      </c>
      <c r="AC115" s="33" t="s">
        <v>296</v>
      </c>
      <c r="AD115" s="50">
        <f t="shared" si="24"/>
        <v>0</v>
      </c>
      <c r="AE115" s="51">
        <f t="shared" si="14"/>
        <v>0</v>
      </c>
      <c r="AF115" s="51">
        <f t="shared" si="15"/>
        <v>0</v>
      </c>
      <c r="AG115" s="52">
        <v>6200</v>
      </c>
      <c r="AH115" s="52">
        <v>5009</v>
      </c>
      <c r="AI115" s="52">
        <v>1</v>
      </c>
      <c r="AJ115" s="53" t="s">
        <v>325</v>
      </c>
    </row>
    <row r="116" spans="1:36" ht="15.75" hidden="1" x14ac:dyDescent="0.25">
      <c r="A116" s="33" t="s">
        <v>326</v>
      </c>
      <c r="B116" s="34">
        <v>5010</v>
      </c>
      <c r="C116" s="34"/>
      <c r="D116" s="35">
        <v>70</v>
      </c>
      <c r="E116" s="36" t="str">
        <f t="shared" si="16"/>
        <v/>
      </c>
      <c r="F116" s="37" t="str">
        <f t="shared" si="17"/>
        <v/>
      </c>
      <c r="G116" s="38">
        <f t="shared" si="18"/>
        <v>0</v>
      </c>
      <c r="H116" s="38">
        <f t="shared" si="18"/>
        <v>0</v>
      </c>
      <c r="I116" s="39">
        <v>0</v>
      </c>
      <c r="J116" s="40">
        <f t="shared" si="25"/>
        <v>0</v>
      </c>
      <c r="K116" s="41">
        <v>0</v>
      </c>
      <c r="L116" s="42">
        <v>1.04</v>
      </c>
      <c r="M116" s="39">
        <f t="shared" si="19"/>
        <v>0</v>
      </c>
      <c r="N116" s="40">
        <f t="shared" si="20"/>
        <v>0</v>
      </c>
      <c r="O116" s="43"/>
      <c r="P116" s="44"/>
      <c r="Q116" s="45"/>
      <c r="R116" s="46"/>
      <c r="S116" s="47"/>
      <c r="T116" s="34">
        <f t="shared" si="13"/>
        <v>0</v>
      </c>
      <c r="U116" s="34">
        <f t="shared" si="21"/>
        <v>0</v>
      </c>
      <c r="V116" s="34">
        <f t="shared" si="22"/>
        <v>0</v>
      </c>
      <c r="W116" s="34">
        <f t="shared" si="23"/>
        <v>0</v>
      </c>
      <c r="X116" s="48" t="s">
        <v>294</v>
      </c>
      <c r="Y116" s="48" t="s">
        <v>295</v>
      </c>
      <c r="Z116" s="49" t="s">
        <v>47</v>
      </c>
      <c r="AA116" s="49" t="s">
        <v>303</v>
      </c>
      <c r="AB116" s="33" t="s">
        <v>303</v>
      </c>
      <c r="AC116" s="33" t="s">
        <v>296</v>
      </c>
      <c r="AD116" s="50">
        <f t="shared" si="24"/>
        <v>0</v>
      </c>
      <c r="AE116" s="51">
        <f t="shared" si="14"/>
        <v>0</v>
      </c>
      <c r="AF116" s="51">
        <f t="shared" si="15"/>
        <v>0</v>
      </c>
      <c r="AG116" s="52">
        <v>6201</v>
      </c>
      <c r="AH116" s="52">
        <v>5010</v>
      </c>
      <c r="AI116" s="52">
        <v>1</v>
      </c>
      <c r="AJ116" s="53" t="s">
        <v>327</v>
      </c>
    </row>
    <row r="117" spans="1:36" ht="15.75" hidden="1" x14ac:dyDescent="0.25">
      <c r="A117" s="33" t="s">
        <v>328</v>
      </c>
      <c r="B117" s="34">
        <v>5011</v>
      </c>
      <c r="C117" s="34"/>
      <c r="D117" s="35">
        <v>75</v>
      </c>
      <c r="E117" s="36" t="str">
        <f t="shared" si="16"/>
        <v/>
      </c>
      <c r="F117" s="37" t="str">
        <f t="shared" si="17"/>
        <v/>
      </c>
      <c r="G117" s="38">
        <f t="shared" si="18"/>
        <v>0</v>
      </c>
      <c r="H117" s="38">
        <f t="shared" si="18"/>
        <v>0</v>
      </c>
      <c r="I117" s="39">
        <v>0</v>
      </c>
      <c r="J117" s="40">
        <f t="shared" si="25"/>
        <v>0</v>
      </c>
      <c r="K117" s="41">
        <v>0</v>
      </c>
      <c r="L117" s="42">
        <v>1.04</v>
      </c>
      <c r="M117" s="39">
        <f t="shared" si="19"/>
        <v>0</v>
      </c>
      <c r="N117" s="40">
        <f t="shared" si="20"/>
        <v>0</v>
      </c>
      <c r="O117" s="43"/>
      <c r="P117" s="44"/>
      <c r="Q117" s="45"/>
      <c r="R117" s="46"/>
      <c r="S117" s="47"/>
      <c r="T117" s="34">
        <f t="shared" si="13"/>
        <v>0</v>
      </c>
      <c r="U117" s="34">
        <f t="shared" si="21"/>
        <v>0</v>
      </c>
      <c r="V117" s="34">
        <f t="shared" si="22"/>
        <v>0</v>
      </c>
      <c r="W117" s="34">
        <f t="shared" si="23"/>
        <v>0</v>
      </c>
      <c r="X117" s="48" t="s">
        <v>294</v>
      </c>
      <c r="Y117" s="48" t="s">
        <v>295</v>
      </c>
      <c r="Z117" s="49" t="s">
        <v>47</v>
      </c>
      <c r="AA117" s="49" t="s">
        <v>303</v>
      </c>
      <c r="AB117" s="33" t="s">
        <v>303</v>
      </c>
      <c r="AC117" s="33" t="s">
        <v>296</v>
      </c>
      <c r="AD117" s="50">
        <f t="shared" si="24"/>
        <v>0</v>
      </c>
      <c r="AE117" s="51">
        <f t="shared" si="14"/>
        <v>0</v>
      </c>
      <c r="AF117" s="51">
        <f t="shared" si="15"/>
        <v>0</v>
      </c>
      <c r="AG117" s="52">
        <v>5003</v>
      </c>
      <c r="AH117" s="52">
        <v>5011</v>
      </c>
      <c r="AI117" s="52">
        <v>1</v>
      </c>
      <c r="AJ117" s="53" t="s">
        <v>329</v>
      </c>
    </row>
    <row r="118" spans="1:36" ht="15.75" hidden="1" x14ac:dyDescent="0.25">
      <c r="A118" s="33" t="s">
        <v>330</v>
      </c>
      <c r="B118" s="34">
        <v>5012</v>
      </c>
      <c r="C118" s="34"/>
      <c r="D118" s="35">
        <v>76</v>
      </c>
      <c r="E118" s="36" t="str">
        <f t="shared" si="16"/>
        <v/>
      </c>
      <c r="F118" s="37" t="str">
        <f t="shared" si="17"/>
        <v/>
      </c>
      <c r="G118" s="38">
        <f t="shared" si="18"/>
        <v>0</v>
      </c>
      <c r="H118" s="38">
        <f t="shared" si="18"/>
        <v>0</v>
      </c>
      <c r="I118" s="39">
        <v>0</v>
      </c>
      <c r="J118" s="40">
        <f t="shared" si="25"/>
        <v>0</v>
      </c>
      <c r="K118" s="41">
        <v>0</v>
      </c>
      <c r="L118" s="42">
        <v>1.04</v>
      </c>
      <c r="M118" s="39">
        <f t="shared" si="19"/>
        <v>0</v>
      </c>
      <c r="N118" s="40">
        <f t="shared" si="20"/>
        <v>0</v>
      </c>
      <c r="O118" s="43"/>
      <c r="P118" s="44"/>
      <c r="Q118" s="45"/>
      <c r="R118" s="46"/>
      <c r="S118" s="47"/>
      <c r="T118" s="34">
        <f t="shared" si="13"/>
        <v>0</v>
      </c>
      <c r="U118" s="34">
        <f t="shared" si="21"/>
        <v>0</v>
      </c>
      <c r="V118" s="34">
        <f t="shared" si="22"/>
        <v>0</v>
      </c>
      <c r="W118" s="34">
        <f t="shared" si="23"/>
        <v>0</v>
      </c>
      <c r="X118" s="48" t="s">
        <v>294</v>
      </c>
      <c r="Y118" s="48" t="s">
        <v>295</v>
      </c>
      <c r="Z118" s="49" t="s">
        <v>47</v>
      </c>
      <c r="AA118" s="49" t="s">
        <v>303</v>
      </c>
      <c r="AB118" s="33" t="s">
        <v>303</v>
      </c>
      <c r="AC118" s="33" t="s">
        <v>296</v>
      </c>
      <c r="AD118" s="50">
        <f t="shared" si="24"/>
        <v>0</v>
      </c>
      <c r="AE118" s="51">
        <f t="shared" si="14"/>
        <v>0</v>
      </c>
      <c r="AF118" s="51">
        <f t="shared" si="15"/>
        <v>0</v>
      </c>
      <c r="AG118" s="52">
        <v>6202</v>
      </c>
      <c r="AH118" s="52">
        <v>5012</v>
      </c>
      <c r="AI118" s="52">
        <v>1</v>
      </c>
      <c r="AJ118" s="53" t="s">
        <v>331</v>
      </c>
    </row>
    <row r="119" spans="1:36" ht="15.75" hidden="1" x14ac:dyDescent="0.25">
      <c r="A119" s="33" t="s">
        <v>332</v>
      </c>
      <c r="B119" s="34">
        <v>5013</v>
      </c>
      <c r="C119" s="34"/>
      <c r="D119" s="35">
        <v>76</v>
      </c>
      <c r="E119" s="36" t="str">
        <f t="shared" si="16"/>
        <v/>
      </c>
      <c r="F119" s="37" t="str">
        <f t="shared" si="17"/>
        <v/>
      </c>
      <c r="G119" s="38">
        <f t="shared" si="18"/>
        <v>0</v>
      </c>
      <c r="H119" s="38">
        <f t="shared" si="18"/>
        <v>0</v>
      </c>
      <c r="I119" s="39">
        <v>0</v>
      </c>
      <c r="J119" s="40">
        <f t="shared" si="25"/>
        <v>0</v>
      </c>
      <c r="K119" s="41">
        <v>0</v>
      </c>
      <c r="L119" s="42">
        <v>1.04</v>
      </c>
      <c r="M119" s="39">
        <f t="shared" si="19"/>
        <v>0</v>
      </c>
      <c r="N119" s="40">
        <f t="shared" si="20"/>
        <v>0</v>
      </c>
      <c r="O119" s="43"/>
      <c r="P119" s="44"/>
      <c r="Q119" s="45"/>
      <c r="R119" s="46"/>
      <c r="S119" s="47"/>
      <c r="T119" s="34">
        <f t="shared" si="13"/>
        <v>0</v>
      </c>
      <c r="U119" s="34">
        <f t="shared" si="21"/>
        <v>0</v>
      </c>
      <c r="V119" s="34">
        <f t="shared" si="22"/>
        <v>0</v>
      </c>
      <c r="W119" s="34">
        <f t="shared" si="23"/>
        <v>0</v>
      </c>
      <c r="X119" s="48" t="s">
        <v>294</v>
      </c>
      <c r="Y119" s="48" t="s">
        <v>295</v>
      </c>
      <c r="Z119" s="49" t="s">
        <v>47</v>
      </c>
      <c r="AA119" s="49" t="s">
        <v>303</v>
      </c>
      <c r="AB119" s="33" t="s">
        <v>303</v>
      </c>
      <c r="AC119" s="33" t="s">
        <v>296</v>
      </c>
      <c r="AD119" s="50">
        <f t="shared" si="24"/>
        <v>0</v>
      </c>
      <c r="AE119" s="51">
        <f t="shared" si="14"/>
        <v>0</v>
      </c>
      <c r="AF119" s="51">
        <f t="shared" si="15"/>
        <v>0</v>
      </c>
      <c r="AG119" s="52">
        <v>5003</v>
      </c>
      <c r="AH119" s="52">
        <v>5013</v>
      </c>
      <c r="AI119" s="52">
        <v>1</v>
      </c>
      <c r="AJ119" s="53" t="s">
        <v>333</v>
      </c>
    </row>
    <row r="120" spans="1:36" ht="15.75" hidden="1" x14ac:dyDescent="0.25">
      <c r="A120" s="33" t="s">
        <v>334</v>
      </c>
      <c r="B120" s="34">
        <v>5014</v>
      </c>
      <c r="C120" s="34"/>
      <c r="D120" s="35">
        <v>76</v>
      </c>
      <c r="E120" s="36" t="str">
        <f t="shared" si="16"/>
        <v/>
      </c>
      <c r="F120" s="37" t="str">
        <f t="shared" si="17"/>
        <v/>
      </c>
      <c r="G120" s="38">
        <f t="shared" si="18"/>
        <v>0</v>
      </c>
      <c r="H120" s="38">
        <f t="shared" si="18"/>
        <v>0</v>
      </c>
      <c r="I120" s="39">
        <v>0</v>
      </c>
      <c r="J120" s="40">
        <f t="shared" si="25"/>
        <v>0</v>
      </c>
      <c r="K120" s="41">
        <v>0</v>
      </c>
      <c r="L120" s="42">
        <v>1.04</v>
      </c>
      <c r="M120" s="39">
        <f t="shared" si="19"/>
        <v>0</v>
      </c>
      <c r="N120" s="40">
        <f t="shared" si="20"/>
        <v>0</v>
      </c>
      <c r="O120" s="43"/>
      <c r="P120" s="44"/>
      <c r="Q120" s="45"/>
      <c r="R120" s="46"/>
      <c r="S120" s="47"/>
      <c r="T120" s="34">
        <f t="shared" si="13"/>
        <v>0</v>
      </c>
      <c r="U120" s="34">
        <f t="shared" si="21"/>
        <v>0</v>
      </c>
      <c r="V120" s="34">
        <f t="shared" si="22"/>
        <v>0</v>
      </c>
      <c r="W120" s="34">
        <f t="shared" si="23"/>
        <v>0</v>
      </c>
      <c r="X120" s="48" t="s">
        <v>294</v>
      </c>
      <c r="Y120" s="48" t="s">
        <v>295</v>
      </c>
      <c r="Z120" s="49" t="s">
        <v>47</v>
      </c>
      <c r="AA120" s="49" t="s">
        <v>303</v>
      </c>
      <c r="AB120" s="33" t="s">
        <v>303</v>
      </c>
      <c r="AC120" s="33" t="s">
        <v>296</v>
      </c>
      <c r="AD120" s="50">
        <f t="shared" si="24"/>
        <v>0</v>
      </c>
      <c r="AE120" s="51">
        <f t="shared" si="14"/>
        <v>0</v>
      </c>
      <c r="AF120" s="51">
        <f t="shared" si="15"/>
        <v>0</v>
      </c>
      <c r="AG120" s="52">
        <v>5003</v>
      </c>
      <c r="AH120" s="52">
        <v>5014</v>
      </c>
      <c r="AI120" s="52">
        <v>1</v>
      </c>
      <c r="AJ120" s="53" t="s">
        <v>335</v>
      </c>
    </row>
    <row r="121" spans="1:36" ht="15.75" hidden="1" x14ac:dyDescent="0.25">
      <c r="A121" s="33" t="s">
        <v>336</v>
      </c>
      <c r="B121" s="34">
        <v>5015</v>
      </c>
      <c r="C121" s="34"/>
      <c r="D121" s="35">
        <v>400</v>
      </c>
      <c r="E121" s="36" t="str">
        <f t="shared" si="16"/>
        <v/>
      </c>
      <c r="F121" s="37" t="str">
        <f t="shared" si="17"/>
        <v/>
      </c>
      <c r="G121" s="38">
        <f t="shared" si="18"/>
        <v>0</v>
      </c>
      <c r="H121" s="38">
        <f t="shared" si="18"/>
        <v>0</v>
      </c>
      <c r="I121" s="39">
        <v>0</v>
      </c>
      <c r="J121" s="40">
        <f t="shared" si="25"/>
        <v>0</v>
      </c>
      <c r="K121" s="41">
        <v>0</v>
      </c>
      <c r="L121" s="42">
        <v>1</v>
      </c>
      <c r="M121" s="39">
        <f t="shared" si="19"/>
        <v>0</v>
      </c>
      <c r="N121" s="40">
        <f t="shared" si="20"/>
        <v>0</v>
      </c>
      <c r="O121" s="43"/>
      <c r="P121" s="44"/>
      <c r="Q121" s="45"/>
      <c r="R121" s="46"/>
      <c r="S121" s="47"/>
      <c r="T121" s="34">
        <f t="shared" si="13"/>
        <v>0</v>
      </c>
      <c r="U121" s="34">
        <f t="shared" si="21"/>
        <v>0</v>
      </c>
      <c r="V121" s="34">
        <f t="shared" si="22"/>
        <v>0</v>
      </c>
      <c r="W121" s="34">
        <f t="shared" si="23"/>
        <v>0</v>
      </c>
      <c r="X121" s="48" t="s">
        <v>294</v>
      </c>
      <c r="Y121" s="48" t="s">
        <v>295</v>
      </c>
      <c r="Z121" s="49" t="s">
        <v>47</v>
      </c>
      <c r="AA121" s="49" t="s">
        <v>303</v>
      </c>
      <c r="AB121" s="33" t="s">
        <v>303</v>
      </c>
      <c r="AC121" s="33" t="s">
        <v>296</v>
      </c>
      <c r="AD121" s="50">
        <f t="shared" si="24"/>
        <v>0</v>
      </c>
      <c r="AE121" s="51">
        <f t="shared" si="14"/>
        <v>0</v>
      </c>
      <c r="AF121" s="51">
        <f t="shared" si="15"/>
        <v>0</v>
      </c>
      <c r="AG121" s="52">
        <v>5003</v>
      </c>
      <c r="AH121" s="52">
        <v>5015</v>
      </c>
      <c r="AI121" s="52">
        <v>1</v>
      </c>
      <c r="AJ121" s="53" t="s">
        <v>337</v>
      </c>
    </row>
    <row r="122" spans="1:36" ht="15.75" hidden="1" x14ac:dyDescent="0.25">
      <c r="A122" s="33" t="s">
        <v>338</v>
      </c>
      <c r="B122" s="34">
        <v>5016</v>
      </c>
      <c r="C122" s="34"/>
      <c r="D122" s="35">
        <v>400</v>
      </c>
      <c r="E122" s="36" t="str">
        <f t="shared" si="16"/>
        <v/>
      </c>
      <c r="F122" s="37" t="str">
        <f t="shared" si="17"/>
        <v/>
      </c>
      <c r="G122" s="38">
        <f t="shared" si="18"/>
        <v>0</v>
      </c>
      <c r="H122" s="38">
        <f t="shared" si="18"/>
        <v>0</v>
      </c>
      <c r="I122" s="39">
        <v>0</v>
      </c>
      <c r="J122" s="40">
        <f t="shared" si="25"/>
        <v>0</v>
      </c>
      <c r="K122" s="41">
        <v>0</v>
      </c>
      <c r="L122" s="42">
        <v>1</v>
      </c>
      <c r="M122" s="39">
        <f t="shared" si="19"/>
        <v>0</v>
      </c>
      <c r="N122" s="40">
        <f t="shared" si="20"/>
        <v>0</v>
      </c>
      <c r="O122" s="43"/>
      <c r="P122" s="44"/>
      <c r="Q122" s="45"/>
      <c r="R122" s="46"/>
      <c r="S122" s="47"/>
      <c r="T122" s="34">
        <f t="shared" si="13"/>
        <v>0</v>
      </c>
      <c r="U122" s="34">
        <f t="shared" si="21"/>
        <v>0</v>
      </c>
      <c r="V122" s="34">
        <f t="shared" si="22"/>
        <v>0</v>
      </c>
      <c r="W122" s="34">
        <f t="shared" si="23"/>
        <v>0</v>
      </c>
      <c r="X122" s="48" t="s">
        <v>294</v>
      </c>
      <c r="Y122" s="48" t="s">
        <v>295</v>
      </c>
      <c r="Z122" s="49" t="s">
        <v>47</v>
      </c>
      <c r="AA122" s="49" t="s">
        <v>303</v>
      </c>
      <c r="AB122" s="33" t="s">
        <v>303</v>
      </c>
      <c r="AC122" s="33" t="s">
        <v>296</v>
      </c>
      <c r="AD122" s="50">
        <f t="shared" si="24"/>
        <v>0</v>
      </c>
      <c r="AE122" s="51">
        <f t="shared" si="14"/>
        <v>0</v>
      </c>
      <c r="AF122" s="51">
        <f t="shared" si="15"/>
        <v>0</v>
      </c>
      <c r="AG122" s="52">
        <v>5004</v>
      </c>
      <c r="AH122" s="52">
        <v>5016</v>
      </c>
      <c r="AI122" s="52">
        <v>1</v>
      </c>
      <c r="AJ122" s="53" t="s">
        <v>339</v>
      </c>
    </row>
    <row r="123" spans="1:36" ht="15.75" hidden="1" x14ac:dyDescent="0.25">
      <c r="A123" s="33" t="s">
        <v>340</v>
      </c>
      <c r="B123" s="34">
        <v>5022</v>
      </c>
      <c r="C123" s="34"/>
      <c r="D123" s="35">
        <v>2460</v>
      </c>
      <c r="E123" s="36" t="str">
        <f t="shared" si="16"/>
        <v/>
      </c>
      <c r="F123" s="37" t="str">
        <f t="shared" si="17"/>
        <v/>
      </c>
      <c r="G123" s="38">
        <f t="shared" si="18"/>
        <v>0</v>
      </c>
      <c r="H123" s="38">
        <f t="shared" si="18"/>
        <v>0</v>
      </c>
      <c r="I123" s="39">
        <v>814</v>
      </c>
      <c r="J123" s="40">
        <f t="shared" si="25"/>
        <v>0.33089430894308941</v>
      </c>
      <c r="K123" s="41">
        <v>-464</v>
      </c>
      <c r="L123" s="42">
        <v>1</v>
      </c>
      <c r="M123" s="39">
        <f t="shared" si="19"/>
        <v>814</v>
      </c>
      <c r="N123" s="40">
        <f t="shared" si="20"/>
        <v>0.33089430894308941</v>
      </c>
      <c r="O123" s="43"/>
      <c r="P123" s="44"/>
      <c r="Q123" s="45"/>
      <c r="R123" s="46"/>
      <c r="S123" s="47"/>
      <c r="T123" s="34">
        <f t="shared" si="13"/>
        <v>0</v>
      </c>
      <c r="U123" s="34">
        <f t="shared" si="21"/>
        <v>0</v>
      </c>
      <c r="V123" s="34">
        <f t="shared" si="22"/>
        <v>0</v>
      </c>
      <c r="W123" s="34">
        <f t="shared" si="23"/>
        <v>0</v>
      </c>
      <c r="X123" s="48" t="s">
        <v>294</v>
      </c>
      <c r="Y123" s="48" t="s">
        <v>295</v>
      </c>
      <c r="Z123" s="49" t="s">
        <v>47</v>
      </c>
      <c r="AA123" s="49" t="s">
        <v>303</v>
      </c>
      <c r="AB123" s="33" t="s">
        <v>303</v>
      </c>
      <c r="AC123" s="33" t="s">
        <v>311</v>
      </c>
      <c r="AD123" s="50">
        <f t="shared" si="24"/>
        <v>0.33089430894308941</v>
      </c>
      <c r="AE123" s="51">
        <f t="shared" si="14"/>
        <v>0</v>
      </c>
      <c r="AF123" s="51">
        <f t="shared" si="15"/>
        <v>0</v>
      </c>
      <c r="AG123" s="52">
        <v>5001</v>
      </c>
      <c r="AH123" s="52">
        <v>5022</v>
      </c>
      <c r="AI123" s="52">
        <v>1</v>
      </c>
      <c r="AJ123" s="53" t="s">
        <v>341</v>
      </c>
    </row>
    <row r="124" spans="1:36" ht="15.75" hidden="1" x14ac:dyDescent="0.25">
      <c r="A124" s="33" t="s">
        <v>342</v>
      </c>
      <c r="B124" s="34">
        <v>5061</v>
      </c>
      <c r="C124" s="34"/>
      <c r="D124" s="35">
        <v>3162</v>
      </c>
      <c r="E124" s="36" t="str">
        <f t="shared" si="16"/>
        <v/>
      </c>
      <c r="F124" s="37" t="str">
        <f t="shared" si="17"/>
        <v/>
      </c>
      <c r="G124" s="38">
        <f t="shared" si="18"/>
        <v>0</v>
      </c>
      <c r="H124" s="38">
        <f t="shared" si="18"/>
        <v>0</v>
      </c>
      <c r="I124" s="39">
        <v>858</v>
      </c>
      <c r="J124" s="40">
        <f t="shared" si="25"/>
        <v>0.27134724857685011</v>
      </c>
      <c r="K124" s="41">
        <v>-229</v>
      </c>
      <c r="L124" s="42">
        <v>0.997</v>
      </c>
      <c r="M124" s="39">
        <f t="shared" si="19"/>
        <v>858</v>
      </c>
      <c r="N124" s="40">
        <f t="shared" si="20"/>
        <v>0.27134724857685011</v>
      </c>
      <c r="O124" s="43"/>
      <c r="P124" s="44"/>
      <c r="Q124" s="45"/>
      <c r="R124" s="46"/>
      <c r="S124" s="47"/>
      <c r="T124" s="34">
        <f t="shared" si="13"/>
        <v>0</v>
      </c>
      <c r="U124" s="34">
        <f t="shared" si="21"/>
        <v>0</v>
      </c>
      <c r="V124" s="34">
        <f t="shared" si="22"/>
        <v>0</v>
      </c>
      <c r="W124" s="34">
        <f t="shared" si="23"/>
        <v>0</v>
      </c>
      <c r="X124" s="48" t="s">
        <v>343</v>
      </c>
      <c r="Y124" s="48" t="s">
        <v>295</v>
      </c>
      <c r="Z124" s="49" t="s">
        <v>47</v>
      </c>
      <c r="AA124" s="49" t="s">
        <v>303</v>
      </c>
      <c r="AB124" s="33" t="s">
        <v>303</v>
      </c>
      <c r="AC124" s="33" t="s">
        <v>311</v>
      </c>
      <c r="AD124" s="50">
        <f t="shared" si="24"/>
        <v>0.27134724857685011</v>
      </c>
      <c r="AE124" s="51">
        <f t="shared" si="14"/>
        <v>0</v>
      </c>
      <c r="AF124" s="51">
        <f t="shared" si="15"/>
        <v>0</v>
      </c>
      <c r="AG124" s="52">
        <v>5060</v>
      </c>
      <c r="AH124" s="52">
        <v>5061</v>
      </c>
      <c r="AI124" s="52">
        <v>1</v>
      </c>
      <c r="AJ124" s="53" t="s">
        <v>344</v>
      </c>
    </row>
    <row r="125" spans="1:36" ht="15.75" hidden="1" x14ac:dyDescent="0.25">
      <c r="A125" s="33" t="s">
        <v>345</v>
      </c>
      <c r="B125" s="34">
        <v>5520</v>
      </c>
      <c r="C125" s="34"/>
      <c r="D125" s="35">
        <v>98</v>
      </c>
      <c r="E125" s="36" t="str">
        <f t="shared" si="16"/>
        <v/>
      </c>
      <c r="F125" s="37" t="str">
        <f t="shared" si="17"/>
        <v/>
      </c>
      <c r="G125" s="38">
        <f t="shared" si="18"/>
        <v>0</v>
      </c>
      <c r="H125" s="38">
        <f t="shared" si="18"/>
        <v>0</v>
      </c>
      <c r="I125" s="39">
        <v>0</v>
      </c>
      <c r="J125" s="40">
        <f t="shared" si="25"/>
        <v>0</v>
      </c>
      <c r="K125" s="41">
        <v>0</v>
      </c>
      <c r="L125" s="42">
        <v>1</v>
      </c>
      <c r="M125" s="39">
        <f t="shared" si="19"/>
        <v>0</v>
      </c>
      <c r="N125" s="40">
        <f t="shared" si="20"/>
        <v>0</v>
      </c>
      <c r="O125" s="43"/>
      <c r="P125" s="44"/>
      <c r="Q125" s="45"/>
      <c r="R125" s="46"/>
      <c r="S125" s="47"/>
      <c r="T125" s="34">
        <f t="shared" si="13"/>
        <v>0</v>
      </c>
      <c r="U125" s="34">
        <f t="shared" si="21"/>
        <v>0</v>
      </c>
      <c r="V125" s="34">
        <f t="shared" si="22"/>
        <v>0</v>
      </c>
      <c r="W125" s="34">
        <f t="shared" si="23"/>
        <v>0</v>
      </c>
      <c r="X125" s="48" t="s">
        <v>346</v>
      </c>
      <c r="Y125" s="48" t="s">
        <v>295</v>
      </c>
      <c r="Z125" s="49" t="s">
        <v>39</v>
      </c>
      <c r="AA125" s="49" t="s">
        <v>347</v>
      </c>
      <c r="AB125" s="33" t="s">
        <v>347</v>
      </c>
      <c r="AC125" s="33" t="s">
        <v>296</v>
      </c>
      <c r="AD125" s="50">
        <f t="shared" si="24"/>
        <v>0</v>
      </c>
      <c r="AE125" s="51">
        <f t="shared" si="14"/>
        <v>0</v>
      </c>
      <c r="AF125" s="51">
        <f t="shared" si="15"/>
        <v>0</v>
      </c>
      <c r="AG125" s="52">
        <v>44095</v>
      </c>
      <c r="AH125" s="52">
        <v>5520</v>
      </c>
      <c r="AI125" s="52">
        <v>1</v>
      </c>
      <c r="AJ125" s="53" t="s">
        <v>348</v>
      </c>
    </row>
    <row r="126" spans="1:36" ht="15.75" hidden="1" x14ac:dyDescent="0.25">
      <c r="A126" s="33" t="s">
        <v>345</v>
      </c>
      <c r="B126" s="34">
        <v>5522</v>
      </c>
      <c r="C126" s="34"/>
      <c r="D126" s="35">
        <v>127</v>
      </c>
      <c r="E126" s="36" t="str">
        <f t="shared" si="16"/>
        <v/>
      </c>
      <c r="F126" s="37" t="str">
        <f t="shared" si="17"/>
        <v/>
      </c>
      <c r="G126" s="38">
        <f t="shared" si="18"/>
        <v>0</v>
      </c>
      <c r="H126" s="38">
        <f t="shared" si="18"/>
        <v>0</v>
      </c>
      <c r="I126" s="39">
        <v>123</v>
      </c>
      <c r="J126" s="40">
        <f t="shared" si="25"/>
        <v>0.96850393700787396</v>
      </c>
      <c r="K126" s="41">
        <v>-28.8</v>
      </c>
      <c r="L126" s="42">
        <v>0.97099999999999997</v>
      </c>
      <c r="M126" s="39">
        <f t="shared" si="19"/>
        <v>123</v>
      </c>
      <c r="N126" s="40">
        <f t="shared" si="20"/>
        <v>0.96850393700787396</v>
      </c>
      <c r="O126" s="43"/>
      <c r="P126" s="44"/>
      <c r="Q126" s="45"/>
      <c r="R126" s="46"/>
      <c r="S126" s="47"/>
      <c r="T126" s="34">
        <f t="shared" si="13"/>
        <v>0</v>
      </c>
      <c r="U126" s="34">
        <f t="shared" si="21"/>
        <v>0</v>
      </c>
      <c r="V126" s="34">
        <f t="shared" si="22"/>
        <v>0</v>
      </c>
      <c r="W126" s="34">
        <f t="shared" si="23"/>
        <v>0</v>
      </c>
      <c r="X126" s="48" t="s">
        <v>346</v>
      </c>
      <c r="Y126" s="48" t="s">
        <v>295</v>
      </c>
      <c r="Z126" s="49" t="s">
        <v>39</v>
      </c>
      <c r="AA126" s="49" t="s">
        <v>347</v>
      </c>
      <c r="AB126" s="33" t="s">
        <v>347</v>
      </c>
      <c r="AC126" s="33" t="s">
        <v>296</v>
      </c>
      <c r="AD126" s="50">
        <f t="shared" si="24"/>
        <v>0.96850393700787396</v>
      </c>
      <c r="AE126" s="51">
        <f t="shared" si="14"/>
        <v>0</v>
      </c>
      <c r="AF126" s="51">
        <f t="shared" si="15"/>
        <v>0</v>
      </c>
      <c r="AG126" s="52">
        <v>44095</v>
      </c>
      <c r="AH126" s="52">
        <v>5522</v>
      </c>
      <c r="AI126" s="52">
        <v>1</v>
      </c>
      <c r="AJ126" s="53" t="s">
        <v>349</v>
      </c>
    </row>
    <row r="127" spans="1:36" ht="15.75" hidden="1" x14ac:dyDescent="0.25">
      <c r="A127" s="33" t="s">
        <v>350</v>
      </c>
      <c r="B127" s="34">
        <v>36</v>
      </c>
      <c r="C127" s="34"/>
      <c r="D127" s="35">
        <v>1260</v>
      </c>
      <c r="E127" s="36" t="str">
        <f t="shared" si="16"/>
        <v/>
      </c>
      <c r="F127" s="37" t="str">
        <f t="shared" si="17"/>
        <v/>
      </c>
      <c r="G127" s="38">
        <f t="shared" si="18"/>
        <v>0</v>
      </c>
      <c r="H127" s="38">
        <f t="shared" si="18"/>
        <v>0</v>
      </c>
      <c r="I127" s="39">
        <v>867.5</v>
      </c>
      <c r="J127" s="40">
        <f t="shared" si="25"/>
        <v>0.68849206349206349</v>
      </c>
      <c r="K127" s="41">
        <v>-213</v>
      </c>
      <c r="L127" s="42">
        <v>0.99299999999999999</v>
      </c>
      <c r="M127" s="39">
        <f t="shared" si="19"/>
        <v>867.5</v>
      </c>
      <c r="N127" s="40">
        <f t="shared" si="20"/>
        <v>0.68849206349206349</v>
      </c>
      <c r="O127" s="43"/>
      <c r="P127" s="44"/>
      <c r="Q127" s="45"/>
      <c r="R127" s="46"/>
      <c r="S127" s="47"/>
      <c r="T127" s="34">
        <f t="shared" si="13"/>
        <v>0</v>
      </c>
      <c r="U127" s="34">
        <f t="shared" si="21"/>
        <v>0</v>
      </c>
      <c r="V127" s="34">
        <f t="shared" si="22"/>
        <v>0</v>
      </c>
      <c r="W127" s="34">
        <f t="shared" si="23"/>
        <v>0</v>
      </c>
      <c r="X127" s="48" t="s">
        <v>88</v>
      </c>
      <c r="Y127" s="48" t="s">
        <v>38</v>
      </c>
      <c r="Z127" s="80" t="s">
        <v>39</v>
      </c>
      <c r="AA127" s="80" t="s">
        <v>351</v>
      </c>
      <c r="AB127" s="80" t="s">
        <v>351</v>
      </c>
      <c r="AC127" s="80"/>
      <c r="AD127" s="50">
        <f t="shared" si="24"/>
        <v>0.68849206349206349</v>
      </c>
      <c r="AE127" s="51">
        <f t="shared" si="14"/>
        <v>0</v>
      </c>
      <c r="AF127" s="51">
        <f t="shared" si="15"/>
        <v>0</v>
      </c>
      <c r="AG127" s="52">
        <v>235</v>
      </c>
      <c r="AH127" s="52">
        <v>36</v>
      </c>
      <c r="AI127" s="52">
        <v>1</v>
      </c>
      <c r="AJ127" s="53" t="s">
        <v>352</v>
      </c>
    </row>
    <row r="128" spans="1:36" ht="15.75" hidden="1" x14ac:dyDescent="0.25">
      <c r="A128" s="33" t="s">
        <v>353</v>
      </c>
      <c r="B128" s="34">
        <v>3964</v>
      </c>
      <c r="C128" s="34"/>
      <c r="D128" s="35">
        <v>450</v>
      </c>
      <c r="E128" s="36" t="str">
        <f t="shared" si="16"/>
        <v/>
      </c>
      <c r="F128" s="37" t="str">
        <f t="shared" si="17"/>
        <v/>
      </c>
      <c r="G128" s="38">
        <f t="shared" si="18"/>
        <v>0</v>
      </c>
      <c r="H128" s="38">
        <f t="shared" si="18"/>
        <v>0</v>
      </c>
      <c r="I128" s="39">
        <v>333.4</v>
      </c>
      <c r="J128" s="40">
        <f t="shared" si="25"/>
        <v>0.74088888888888882</v>
      </c>
      <c r="K128" s="41">
        <v>-7.61</v>
      </c>
      <c r="L128" s="42">
        <v>0.98599999999999999</v>
      </c>
      <c r="M128" s="39">
        <f t="shared" si="19"/>
        <v>333.4</v>
      </c>
      <c r="N128" s="40">
        <f t="shared" si="20"/>
        <v>0.74088888888888882</v>
      </c>
      <c r="O128" s="43"/>
      <c r="P128" s="44"/>
      <c r="Q128" s="45"/>
      <c r="R128" s="46"/>
      <c r="S128" s="47"/>
      <c r="T128" s="34">
        <f t="shared" si="13"/>
        <v>0</v>
      </c>
      <c r="U128" s="34">
        <f t="shared" si="21"/>
        <v>0</v>
      </c>
      <c r="V128" s="34">
        <f t="shared" si="22"/>
        <v>0</v>
      </c>
      <c r="W128" s="34">
        <f t="shared" si="23"/>
        <v>0</v>
      </c>
      <c r="X128" s="48" t="s">
        <v>88</v>
      </c>
      <c r="Y128" s="48" t="s">
        <v>38</v>
      </c>
      <c r="Z128" s="80" t="s">
        <v>47</v>
      </c>
      <c r="AA128" s="80" t="s">
        <v>351</v>
      </c>
      <c r="AB128" s="80" t="s">
        <v>351</v>
      </c>
      <c r="AC128" s="80"/>
      <c r="AD128" s="50">
        <f t="shared" si="24"/>
        <v>0.74088888888888882</v>
      </c>
      <c r="AE128" s="51">
        <f t="shared" si="14"/>
        <v>0</v>
      </c>
      <c r="AF128" s="51">
        <f t="shared" si="15"/>
        <v>0</v>
      </c>
      <c r="AG128" s="52">
        <v>3965</v>
      </c>
      <c r="AH128" s="52">
        <v>3964</v>
      </c>
      <c r="AI128" s="52">
        <v>1</v>
      </c>
      <c r="AJ128" s="53" t="s">
        <v>354</v>
      </c>
    </row>
    <row r="129" spans="1:36" ht="15.75" hidden="1" x14ac:dyDescent="0.25">
      <c r="A129" s="33" t="s">
        <v>355</v>
      </c>
      <c r="B129" s="34">
        <v>3968</v>
      </c>
      <c r="C129" s="34"/>
      <c r="D129" s="35">
        <v>243</v>
      </c>
      <c r="E129" s="36" t="str">
        <f t="shared" si="16"/>
        <v/>
      </c>
      <c r="F129" s="37" t="str">
        <f t="shared" si="17"/>
        <v/>
      </c>
      <c r="G129" s="38">
        <f t="shared" si="18"/>
        <v>0</v>
      </c>
      <c r="H129" s="38">
        <f t="shared" si="18"/>
        <v>0</v>
      </c>
      <c r="I129" s="39">
        <v>229.8</v>
      </c>
      <c r="J129" s="40">
        <f t="shared" si="25"/>
        <v>0.94567901234567908</v>
      </c>
      <c r="K129" s="41">
        <v>8.2230000000000008</v>
      </c>
      <c r="L129" s="42">
        <v>0.98899999999999999</v>
      </c>
      <c r="M129" s="39">
        <f t="shared" si="19"/>
        <v>229.8</v>
      </c>
      <c r="N129" s="40">
        <f t="shared" si="20"/>
        <v>0.94567901234567908</v>
      </c>
      <c r="O129" s="43"/>
      <c r="P129" s="44"/>
      <c r="Q129" s="45"/>
      <c r="R129" s="46"/>
      <c r="S129" s="47"/>
      <c r="T129" s="34">
        <f t="shared" si="13"/>
        <v>0</v>
      </c>
      <c r="U129" s="34">
        <f t="shared" si="21"/>
        <v>0</v>
      </c>
      <c r="V129" s="34">
        <f t="shared" si="22"/>
        <v>0</v>
      </c>
      <c r="W129" s="34">
        <f t="shared" si="23"/>
        <v>0</v>
      </c>
      <c r="X129" s="48" t="s">
        <v>356</v>
      </c>
      <c r="Y129" s="48" t="s">
        <v>38</v>
      </c>
      <c r="Z129" s="80" t="s">
        <v>47</v>
      </c>
      <c r="AA129" s="80" t="s">
        <v>351</v>
      </c>
      <c r="AB129" s="80" t="s">
        <v>351</v>
      </c>
      <c r="AC129" s="33" t="s">
        <v>357</v>
      </c>
      <c r="AD129" s="50">
        <f t="shared" si="24"/>
        <v>0.94567901234567908</v>
      </c>
      <c r="AE129" s="51">
        <f t="shared" si="14"/>
        <v>0</v>
      </c>
      <c r="AF129" s="51">
        <f t="shared" si="15"/>
        <v>0</v>
      </c>
      <c r="AG129" s="52">
        <v>3967</v>
      </c>
      <c r="AH129" s="52">
        <v>3968</v>
      </c>
      <c r="AI129" s="52">
        <v>1</v>
      </c>
      <c r="AJ129" s="53" t="s">
        <v>358</v>
      </c>
    </row>
    <row r="130" spans="1:36" ht="15.75" hidden="1" x14ac:dyDescent="0.25">
      <c r="A130" s="33" t="s">
        <v>359</v>
      </c>
      <c r="B130" s="34">
        <v>7110</v>
      </c>
      <c r="C130" s="34"/>
      <c r="D130" s="35">
        <v>498</v>
      </c>
      <c r="E130" s="36" t="str">
        <f t="shared" si="16"/>
        <v/>
      </c>
      <c r="F130" s="37" t="str">
        <f t="shared" si="17"/>
        <v/>
      </c>
      <c r="G130" s="38">
        <f t="shared" si="18"/>
        <v>0</v>
      </c>
      <c r="H130" s="38">
        <f t="shared" si="18"/>
        <v>0</v>
      </c>
      <c r="I130" s="39">
        <v>422.2</v>
      </c>
      <c r="J130" s="40">
        <f t="shared" si="25"/>
        <v>0.84779116465863447</v>
      </c>
      <c r="K130" s="41">
        <v>-162</v>
      </c>
      <c r="L130" s="42">
        <v>0.98</v>
      </c>
      <c r="M130" s="39">
        <f t="shared" si="19"/>
        <v>422.2</v>
      </c>
      <c r="N130" s="40">
        <f t="shared" si="20"/>
        <v>0.84779116465863447</v>
      </c>
      <c r="O130" s="43"/>
      <c r="P130" s="44"/>
      <c r="Q130" s="45"/>
      <c r="R130" s="46"/>
      <c r="S130" s="47"/>
      <c r="T130" s="34">
        <f t="shared" si="13"/>
        <v>0</v>
      </c>
      <c r="U130" s="34">
        <f t="shared" si="21"/>
        <v>0</v>
      </c>
      <c r="V130" s="34">
        <f t="shared" si="22"/>
        <v>0</v>
      </c>
      <c r="W130" s="34">
        <f t="shared" si="23"/>
        <v>0</v>
      </c>
      <c r="X130" s="48" t="s">
        <v>356</v>
      </c>
      <c r="Y130" s="48" t="s">
        <v>38</v>
      </c>
      <c r="Z130" s="80" t="s">
        <v>39</v>
      </c>
      <c r="AA130" s="80" t="s">
        <v>351</v>
      </c>
      <c r="AB130" s="80" t="s">
        <v>351</v>
      </c>
      <c r="AC130" s="80"/>
      <c r="AD130" s="50">
        <f t="shared" si="24"/>
        <v>0.84779116465863447</v>
      </c>
      <c r="AE130" s="51">
        <f t="shared" si="14"/>
        <v>0</v>
      </c>
      <c r="AF130" s="51">
        <f t="shared" si="15"/>
        <v>0</v>
      </c>
      <c r="AG130" s="52">
        <v>7111</v>
      </c>
      <c r="AH130" s="52">
        <v>7110</v>
      </c>
      <c r="AI130" s="52">
        <v>1</v>
      </c>
      <c r="AJ130" s="53" t="s">
        <v>360</v>
      </c>
    </row>
    <row r="131" spans="1:36" ht="15.75" hidden="1" x14ac:dyDescent="0.25">
      <c r="A131" s="33" t="s">
        <v>361</v>
      </c>
      <c r="B131" s="34">
        <v>7206</v>
      </c>
      <c r="C131" s="34"/>
      <c r="D131" s="35">
        <v>900</v>
      </c>
      <c r="E131" s="36" t="str">
        <f t="shared" si="16"/>
        <v/>
      </c>
      <c r="F131" s="37" t="str">
        <f t="shared" si="17"/>
        <v/>
      </c>
      <c r="G131" s="38">
        <f t="shared" si="18"/>
        <v>0</v>
      </c>
      <c r="H131" s="38">
        <f t="shared" si="18"/>
        <v>0</v>
      </c>
      <c r="I131" s="39">
        <v>543.9</v>
      </c>
      <c r="J131" s="40">
        <f t="shared" si="25"/>
        <v>0.60433333333333328</v>
      </c>
      <c r="K131" s="41">
        <v>-198</v>
      </c>
      <c r="L131" s="42">
        <v>1</v>
      </c>
      <c r="M131" s="39">
        <f t="shared" si="19"/>
        <v>543.9</v>
      </c>
      <c r="N131" s="40">
        <f t="shared" si="20"/>
        <v>0.60433333333333328</v>
      </c>
      <c r="O131" s="43"/>
      <c r="P131" s="44"/>
      <c r="Q131" s="45"/>
      <c r="R131" s="46"/>
      <c r="S131" s="47"/>
      <c r="T131" s="34">
        <f t="shared" si="13"/>
        <v>0</v>
      </c>
      <c r="U131" s="34">
        <f t="shared" si="21"/>
        <v>0</v>
      </c>
      <c r="V131" s="34">
        <f t="shared" si="22"/>
        <v>0</v>
      </c>
      <c r="W131" s="34">
        <f t="shared" si="23"/>
        <v>0</v>
      </c>
      <c r="X131" s="48" t="s">
        <v>356</v>
      </c>
      <c r="Y131" s="48" t="s">
        <v>38</v>
      </c>
      <c r="Z131" s="80" t="s">
        <v>47</v>
      </c>
      <c r="AA131" s="80" t="s">
        <v>351</v>
      </c>
      <c r="AB131" s="80" t="s">
        <v>351</v>
      </c>
      <c r="AC131" s="80"/>
      <c r="AD131" s="50">
        <f t="shared" si="24"/>
        <v>0.60433333333333328</v>
      </c>
      <c r="AE131" s="51">
        <f t="shared" si="14"/>
        <v>0</v>
      </c>
      <c r="AF131" s="51">
        <f t="shared" si="15"/>
        <v>0</v>
      </c>
      <c r="AG131" s="52">
        <v>7207</v>
      </c>
      <c r="AH131" s="52">
        <v>7206</v>
      </c>
      <c r="AI131" s="52">
        <v>1</v>
      </c>
      <c r="AJ131" s="53" t="s">
        <v>362</v>
      </c>
    </row>
    <row r="132" spans="1:36" ht="15.75" hidden="1" x14ac:dyDescent="0.25">
      <c r="A132" s="33" t="s">
        <v>363</v>
      </c>
      <c r="B132" s="34">
        <v>5595</v>
      </c>
      <c r="C132" s="34"/>
      <c r="D132" s="35">
        <v>1087</v>
      </c>
      <c r="E132" s="36" t="str">
        <f t="shared" si="16"/>
        <v/>
      </c>
      <c r="F132" s="37" t="str">
        <f t="shared" si="17"/>
        <v/>
      </c>
      <c r="G132" s="38">
        <f t="shared" si="18"/>
        <v>0</v>
      </c>
      <c r="H132" s="38">
        <f t="shared" si="18"/>
        <v>0</v>
      </c>
      <c r="I132" s="39">
        <v>319.8</v>
      </c>
      <c r="J132" s="40">
        <f t="shared" si="25"/>
        <v>0.2942042318307268</v>
      </c>
      <c r="K132" s="41">
        <v>-160</v>
      </c>
      <c r="L132" s="42">
        <v>0.95799999999999996</v>
      </c>
      <c r="M132" s="39">
        <f t="shared" si="19"/>
        <v>319.8</v>
      </c>
      <c r="N132" s="40">
        <f t="shared" si="20"/>
        <v>0.2942042318307268</v>
      </c>
      <c r="O132" s="43"/>
      <c r="P132" s="44"/>
      <c r="Q132" s="45"/>
      <c r="R132" s="46"/>
      <c r="S132" s="47"/>
      <c r="T132" s="34">
        <f t="shared" si="13"/>
        <v>0</v>
      </c>
      <c r="U132" s="34">
        <f t="shared" si="21"/>
        <v>0</v>
      </c>
      <c r="V132" s="34">
        <f t="shared" si="22"/>
        <v>0</v>
      </c>
      <c r="W132" s="34">
        <f t="shared" si="23"/>
        <v>0</v>
      </c>
      <c r="X132" s="48" t="s">
        <v>364</v>
      </c>
      <c r="Y132" s="48" t="s">
        <v>365</v>
      </c>
      <c r="Z132" s="80" t="s">
        <v>47</v>
      </c>
      <c r="AA132" s="80" t="s">
        <v>351</v>
      </c>
      <c r="AB132" s="80" t="s">
        <v>351</v>
      </c>
      <c r="AC132" s="80"/>
      <c r="AD132" s="50">
        <f t="shared" si="24"/>
        <v>0.2942042318307268</v>
      </c>
      <c r="AE132" s="51">
        <f t="shared" si="14"/>
        <v>0</v>
      </c>
      <c r="AF132" s="51">
        <f t="shared" si="15"/>
        <v>0</v>
      </c>
      <c r="AG132" s="52">
        <v>5594</v>
      </c>
      <c r="AH132" s="52">
        <v>5595</v>
      </c>
      <c r="AI132" s="52">
        <v>1</v>
      </c>
      <c r="AJ132" s="53" t="s">
        <v>366</v>
      </c>
    </row>
    <row r="133" spans="1:36" ht="15.75" hidden="1" x14ac:dyDescent="0.25">
      <c r="A133" s="58" t="s">
        <v>367</v>
      </c>
      <c r="B133" s="59">
        <v>6419</v>
      </c>
      <c r="C133" s="59"/>
      <c r="D133" s="60">
        <v>1750</v>
      </c>
      <c r="E133" s="36" t="str">
        <f t="shared" si="16"/>
        <v/>
      </c>
      <c r="F133" s="37" t="str">
        <f t="shared" si="17"/>
        <v/>
      </c>
      <c r="G133" s="38">
        <f t="shared" si="18"/>
        <v>0</v>
      </c>
      <c r="H133" s="38">
        <f t="shared" si="18"/>
        <v>0</v>
      </c>
      <c r="I133" s="39">
        <v>847</v>
      </c>
      <c r="J133" s="40">
        <f t="shared" si="25"/>
        <v>0.48399999999999999</v>
      </c>
      <c r="K133" s="41">
        <v>-17.600000000000001</v>
      </c>
      <c r="L133" s="42">
        <v>1.01</v>
      </c>
      <c r="M133" s="39">
        <f t="shared" si="19"/>
        <v>847</v>
      </c>
      <c r="N133" s="40">
        <f t="shared" si="20"/>
        <v>0.48399999999999999</v>
      </c>
      <c r="O133" s="43"/>
      <c r="P133" s="44"/>
      <c r="Q133" s="45"/>
      <c r="R133" s="46"/>
      <c r="S133" s="47"/>
      <c r="T133" s="34">
        <f t="shared" ref="T133:T182" si="26">AK133</f>
        <v>0</v>
      </c>
      <c r="U133" s="34">
        <f t="shared" si="21"/>
        <v>0</v>
      </c>
      <c r="V133" s="34">
        <f t="shared" si="22"/>
        <v>0</v>
      </c>
      <c r="W133" s="34">
        <f t="shared" si="23"/>
        <v>0</v>
      </c>
      <c r="X133" s="48" t="s">
        <v>368</v>
      </c>
      <c r="Y133" s="48" t="s">
        <v>365</v>
      </c>
      <c r="Z133" s="49" t="s">
        <v>39</v>
      </c>
      <c r="AA133" s="80" t="s">
        <v>351</v>
      </c>
      <c r="AB133" s="80" t="s">
        <v>351</v>
      </c>
      <c r="AC133" s="33" t="s">
        <v>369</v>
      </c>
      <c r="AD133" s="50">
        <f t="shared" si="24"/>
        <v>0.48399999999999999</v>
      </c>
      <c r="AE133" s="51">
        <f t="shared" ref="AE133:AE196" si="27">IFERROR(+D133/VLOOKUP(AB133,$A$386:$E$428,3,FALSE),0)</f>
        <v>0</v>
      </c>
      <c r="AF133" s="51">
        <f t="shared" ref="AF133:AF196" si="28">IFERROR(+I133/VLOOKUP(AB133,$A$386:$E$428,5,FALSE),0)</f>
        <v>0</v>
      </c>
      <c r="AG133" s="52">
        <v>6410</v>
      </c>
      <c r="AH133" s="52">
        <v>6419</v>
      </c>
      <c r="AI133" s="52">
        <v>1</v>
      </c>
      <c r="AJ133" s="53" t="s">
        <v>370</v>
      </c>
    </row>
    <row r="134" spans="1:36" ht="15.75" hidden="1" x14ac:dyDescent="0.25">
      <c r="A134" s="33" t="s">
        <v>367</v>
      </c>
      <c r="B134" s="34">
        <v>6420</v>
      </c>
      <c r="C134" s="34"/>
      <c r="D134" s="35">
        <v>1050</v>
      </c>
      <c r="E134" s="36" t="str">
        <f t="shared" ref="E134:E197" si="29">IF(AS134="-",IF(AW134=0,"",AW134),"")</f>
        <v/>
      </c>
      <c r="F134" s="37" t="str">
        <f t="shared" ref="F134:F197" si="30">IF(AS134="-",AX134,"")</f>
        <v/>
      </c>
      <c r="G134" s="38">
        <f t="shared" si="18"/>
        <v>0</v>
      </c>
      <c r="H134" s="38">
        <f t="shared" si="18"/>
        <v>0</v>
      </c>
      <c r="I134" s="39">
        <v>0</v>
      </c>
      <c r="J134" s="40">
        <f t="shared" si="25"/>
        <v>0</v>
      </c>
      <c r="K134" s="41">
        <v>0</v>
      </c>
      <c r="L134" s="42">
        <v>1.01</v>
      </c>
      <c r="M134" s="39">
        <f t="shared" si="19"/>
        <v>0</v>
      </c>
      <c r="N134" s="40">
        <f t="shared" si="20"/>
        <v>0</v>
      </c>
      <c r="O134" s="43"/>
      <c r="P134" s="44"/>
      <c r="Q134" s="45"/>
      <c r="R134" s="46"/>
      <c r="S134" s="47"/>
      <c r="T134" s="34">
        <f t="shared" si="26"/>
        <v>0</v>
      </c>
      <c r="U134" s="34">
        <f t="shared" si="21"/>
        <v>0</v>
      </c>
      <c r="V134" s="34">
        <f t="shared" si="22"/>
        <v>0</v>
      </c>
      <c r="W134" s="34">
        <f t="shared" si="23"/>
        <v>0</v>
      </c>
      <c r="X134" s="48" t="s">
        <v>368</v>
      </c>
      <c r="Y134" s="48" t="s">
        <v>365</v>
      </c>
      <c r="Z134" s="49" t="s">
        <v>39</v>
      </c>
      <c r="AA134" s="80" t="s">
        <v>351</v>
      </c>
      <c r="AB134" s="80" t="s">
        <v>351</v>
      </c>
      <c r="AC134" s="33" t="s">
        <v>369</v>
      </c>
      <c r="AD134" s="50">
        <f t="shared" si="24"/>
        <v>0</v>
      </c>
      <c r="AE134" s="51">
        <f t="shared" si="27"/>
        <v>0</v>
      </c>
      <c r="AF134" s="51">
        <f t="shared" si="28"/>
        <v>0</v>
      </c>
      <c r="AG134" s="52">
        <v>6410</v>
      </c>
      <c r="AH134" s="52">
        <v>6420</v>
      </c>
      <c r="AI134" s="52">
        <v>1</v>
      </c>
      <c r="AJ134" s="53" t="s">
        <v>371</v>
      </c>
    </row>
    <row r="135" spans="1:36" ht="15.75" hidden="1" x14ac:dyDescent="0.25">
      <c r="A135" s="33" t="s">
        <v>367</v>
      </c>
      <c r="B135" s="34">
        <v>6422</v>
      </c>
      <c r="C135" s="34"/>
      <c r="D135" s="35">
        <v>1400</v>
      </c>
      <c r="E135" s="36" t="str">
        <f t="shared" si="29"/>
        <v/>
      </c>
      <c r="F135" s="37" t="str">
        <f t="shared" si="30"/>
        <v/>
      </c>
      <c r="G135" s="38">
        <f t="shared" si="18"/>
        <v>0</v>
      </c>
      <c r="H135" s="38">
        <f t="shared" si="18"/>
        <v>0</v>
      </c>
      <c r="I135" s="39">
        <v>677</v>
      </c>
      <c r="J135" s="40">
        <f t="shared" si="25"/>
        <v>0.4835714285714286</v>
      </c>
      <c r="K135" s="41">
        <v>-13.2</v>
      </c>
      <c r="L135" s="42">
        <v>1</v>
      </c>
      <c r="M135" s="39">
        <f t="shared" si="19"/>
        <v>677</v>
      </c>
      <c r="N135" s="40">
        <f t="shared" si="20"/>
        <v>0.4835714285714286</v>
      </c>
      <c r="O135" s="43"/>
      <c r="P135" s="44"/>
      <c r="Q135" s="45"/>
      <c r="R135" s="46"/>
      <c r="S135" s="47"/>
      <c r="T135" s="34">
        <f t="shared" si="26"/>
        <v>0</v>
      </c>
      <c r="U135" s="34">
        <f t="shared" si="21"/>
        <v>0</v>
      </c>
      <c r="V135" s="34">
        <f t="shared" si="22"/>
        <v>0</v>
      </c>
      <c r="W135" s="34">
        <f t="shared" si="23"/>
        <v>0</v>
      </c>
      <c r="X135" s="48" t="s">
        <v>368</v>
      </c>
      <c r="Y135" s="48" t="s">
        <v>365</v>
      </c>
      <c r="Z135" s="49" t="s">
        <v>39</v>
      </c>
      <c r="AA135" s="80" t="s">
        <v>351</v>
      </c>
      <c r="AB135" s="80" t="s">
        <v>351</v>
      </c>
      <c r="AC135" s="33" t="s">
        <v>369</v>
      </c>
      <c r="AD135" s="50">
        <f t="shared" si="24"/>
        <v>0.4835714285714286</v>
      </c>
      <c r="AE135" s="51">
        <f t="shared" si="27"/>
        <v>0</v>
      </c>
      <c r="AF135" s="51">
        <f t="shared" si="28"/>
        <v>0</v>
      </c>
      <c r="AG135" s="52">
        <v>6410</v>
      </c>
      <c r="AH135" s="52">
        <v>6422</v>
      </c>
      <c r="AI135" s="52">
        <v>1</v>
      </c>
      <c r="AJ135" s="53" t="s">
        <v>372</v>
      </c>
    </row>
    <row r="136" spans="1:36" ht="15.75" hidden="1" x14ac:dyDescent="0.25">
      <c r="A136" s="33" t="s">
        <v>373</v>
      </c>
      <c r="B136" s="34">
        <v>6424</v>
      </c>
      <c r="C136" s="34"/>
      <c r="D136" s="35">
        <v>1560</v>
      </c>
      <c r="E136" s="36" t="str">
        <f t="shared" si="29"/>
        <v/>
      </c>
      <c r="F136" s="37" t="str">
        <f t="shared" si="30"/>
        <v/>
      </c>
      <c r="G136" s="38">
        <f t="shared" ref="G136:H200" si="31">BD136</f>
        <v>0</v>
      </c>
      <c r="H136" s="38">
        <f t="shared" si="31"/>
        <v>0</v>
      </c>
      <c r="I136" s="39">
        <v>537</v>
      </c>
      <c r="J136" s="40">
        <f t="shared" si="25"/>
        <v>0.34423076923076923</v>
      </c>
      <c r="K136" s="41">
        <v>-176</v>
      </c>
      <c r="L136" s="42">
        <v>0.98299999999999998</v>
      </c>
      <c r="M136" s="39">
        <f t="shared" ref="M136:M200" si="32">IF(O136&lt;&gt;"",ROUND(O136,0),IF(P136&lt;&gt;"",ROUND(P136*D136,0),I136))</f>
        <v>537</v>
      </c>
      <c r="N136" s="40">
        <f t="shared" ref="N136:N200" si="33">IF(M136&lt;&gt;"",+M136/$D136,"-")</f>
        <v>0.34423076923076923</v>
      </c>
      <c r="O136" s="43"/>
      <c r="P136" s="44"/>
      <c r="Q136" s="45"/>
      <c r="R136" s="46"/>
      <c r="S136" s="47"/>
      <c r="T136" s="34">
        <f t="shared" si="26"/>
        <v>0</v>
      </c>
      <c r="U136" s="34">
        <f t="shared" ref="U136:U200" si="34">AN136</f>
        <v>0</v>
      </c>
      <c r="V136" s="34">
        <f t="shared" ref="V136:V200" si="35">IF(AND(ISBLANK(O136),ISBLANK(P136),ISBLANK(Q136)),AP136,AO136)</f>
        <v>0</v>
      </c>
      <c r="W136" s="34">
        <f t="shared" ref="W136:W200" si="36">AM136</f>
        <v>0</v>
      </c>
      <c r="X136" s="48" t="s">
        <v>368</v>
      </c>
      <c r="Y136" s="48" t="s">
        <v>365</v>
      </c>
      <c r="Z136" s="49" t="s">
        <v>39</v>
      </c>
      <c r="AA136" s="80" t="s">
        <v>351</v>
      </c>
      <c r="AB136" s="80" t="s">
        <v>351</v>
      </c>
      <c r="AC136" s="33" t="s">
        <v>369</v>
      </c>
      <c r="AD136" s="50">
        <f t="shared" ref="AD136:AD200" si="37">(I136/D136)</f>
        <v>0.34423076923076923</v>
      </c>
      <c r="AE136" s="51">
        <f t="shared" si="27"/>
        <v>0</v>
      </c>
      <c r="AF136" s="51">
        <f t="shared" si="28"/>
        <v>0</v>
      </c>
      <c r="AG136" s="52">
        <v>6430</v>
      </c>
      <c r="AH136" s="52">
        <v>6424</v>
      </c>
      <c r="AI136" s="52">
        <v>1</v>
      </c>
      <c r="AJ136" s="53" t="s">
        <v>374</v>
      </c>
    </row>
    <row r="137" spans="1:36" ht="15.75" hidden="1" x14ac:dyDescent="0.25">
      <c r="A137" s="33" t="s">
        <v>373</v>
      </c>
      <c r="B137" s="34">
        <v>6425</v>
      </c>
      <c r="C137" s="34"/>
      <c r="D137" s="35">
        <v>2730</v>
      </c>
      <c r="E137" s="36" t="str">
        <f t="shared" si="29"/>
        <v/>
      </c>
      <c r="F137" s="37" t="str">
        <f t="shared" si="30"/>
        <v/>
      </c>
      <c r="G137" s="38">
        <f t="shared" si="31"/>
        <v>0</v>
      </c>
      <c r="H137" s="38">
        <f t="shared" si="31"/>
        <v>0</v>
      </c>
      <c r="I137" s="39">
        <v>940</v>
      </c>
      <c r="J137" s="40">
        <f t="shared" si="25"/>
        <v>0.34432234432234432</v>
      </c>
      <c r="K137" s="41">
        <v>-176</v>
      </c>
      <c r="L137" s="42">
        <v>0.995</v>
      </c>
      <c r="M137" s="39">
        <f t="shared" si="32"/>
        <v>940</v>
      </c>
      <c r="N137" s="40">
        <f t="shared" si="33"/>
        <v>0.34432234432234432</v>
      </c>
      <c r="O137" s="43"/>
      <c r="P137" s="44"/>
      <c r="Q137" s="45"/>
      <c r="R137" s="46"/>
      <c r="S137" s="47"/>
      <c r="T137" s="34">
        <f t="shared" si="26"/>
        <v>0</v>
      </c>
      <c r="U137" s="34">
        <f t="shared" si="34"/>
        <v>0</v>
      </c>
      <c r="V137" s="34">
        <f t="shared" si="35"/>
        <v>0</v>
      </c>
      <c r="W137" s="34">
        <f t="shared" si="36"/>
        <v>0</v>
      </c>
      <c r="X137" s="48" t="s">
        <v>368</v>
      </c>
      <c r="Y137" s="48" t="s">
        <v>365</v>
      </c>
      <c r="Z137" s="49" t="s">
        <v>39</v>
      </c>
      <c r="AA137" s="80" t="s">
        <v>351</v>
      </c>
      <c r="AB137" s="80" t="s">
        <v>351</v>
      </c>
      <c r="AC137" s="33" t="s">
        <v>369</v>
      </c>
      <c r="AD137" s="50">
        <f t="shared" si="37"/>
        <v>0.34432234432234432</v>
      </c>
      <c r="AE137" s="51">
        <f t="shared" si="27"/>
        <v>0</v>
      </c>
      <c r="AF137" s="51">
        <f t="shared" si="28"/>
        <v>0</v>
      </c>
      <c r="AG137" s="52">
        <v>6430</v>
      </c>
      <c r="AH137" s="52">
        <v>6425</v>
      </c>
      <c r="AI137" s="52">
        <v>1</v>
      </c>
      <c r="AJ137" s="53" t="s">
        <v>375</v>
      </c>
    </row>
    <row r="138" spans="1:36" ht="15.75" hidden="1" x14ac:dyDescent="0.25">
      <c r="A138" s="106" t="s">
        <v>376</v>
      </c>
      <c r="B138" s="107">
        <v>6555</v>
      </c>
      <c r="C138" s="107"/>
      <c r="D138" s="85">
        <v>77</v>
      </c>
      <c r="E138" s="36" t="str">
        <f t="shared" si="29"/>
        <v/>
      </c>
      <c r="F138" s="37" t="str">
        <f t="shared" si="30"/>
        <v/>
      </c>
      <c r="G138" s="38">
        <f t="shared" si="31"/>
        <v>0</v>
      </c>
      <c r="H138" s="38">
        <f t="shared" si="31"/>
        <v>0</v>
      </c>
      <c r="I138" s="39">
        <v>33</v>
      </c>
      <c r="J138" s="40">
        <f t="shared" ref="J138:J202" si="38">IF(I138&lt;&gt;"",+I138/$D138,"-")</f>
        <v>0.42857142857142855</v>
      </c>
      <c r="K138" s="41">
        <v>-4.75</v>
      </c>
      <c r="L138" s="42">
        <v>1.01</v>
      </c>
      <c r="M138" s="39">
        <f t="shared" si="32"/>
        <v>33</v>
      </c>
      <c r="N138" s="40">
        <f t="shared" si="33"/>
        <v>0.42857142857142855</v>
      </c>
      <c r="O138" s="43"/>
      <c r="P138" s="44"/>
      <c r="Q138" s="45"/>
      <c r="R138" s="46"/>
      <c r="S138" s="47"/>
      <c r="T138" s="34">
        <f t="shared" si="26"/>
        <v>0</v>
      </c>
      <c r="U138" s="34">
        <f t="shared" si="34"/>
        <v>0</v>
      </c>
      <c r="V138" s="34">
        <f t="shared" si="35"/>
        <v>0</v>
      </c>
      <c r="W138" s="34">
        <f t="shared" si="36"/>
        <v>0</v>
      </c>
      <c r="X138" s="48" t="s">
        <v>368</v>
      </c>
      <c r="Y138" s="48" t="s">
        <v>365</v>
      </c>
      <c r="Z138" s="49" t="s">
        <v>47</v>
      </c>
      <c r="AA138" s="80" t="s">
        <v>377</v>
      </c>
      <c r="AB138" s="80" t="s">
        <v>378</v>
      </c>
      <c r="AC138" s="80"/>
      <c r="AD138" s="50">
        <f t="shared" si="37"/>
        <v>0.42857142857142855</v>
      </c>
      <c r="AE138" s="51">
        <f t="shared" si="27"/>
        <v>0</v>
      </c>
      <c r="AF138" s="51">
        <f t="shared" si="28"/>
        <v>0</v>
      </c>
      <c r="AG138" s="52">
        <v>6554</v>
      </c>
      <c r="AH138" s="52">
        <v>6555</v>
      </c>
      <c r="AI138" s="52">
        <v>1</v>
      </c>
      <c r="AJ138" s="52" t="s">
        <v>379</v>
      </c>
    </row>
    <row r="139" spans="1:36" ht="15.75" hidden="1" x14ac:dyDescent="0.25">
      <c r="A139" s="106" t="s">
        <v>380</v>
      </c>
      <c r="B139" s="107">
        <v>6556</v>
      </c>
      <c r="C139" s="107"/>
      <c r="D139" s="85">
        <v>77</v>
      </c>
      <c r="E139" s="36" t="str">
        <f t="shared" si="29"/>
        <v/>
      </c>
      <c r="F139" s="37" t="str">
        <f t="shared" si="30"/>
        <v/>
      </c>
      <c r="G139" s="38">
        <f t="shared" si="31"/>
        <v>0</v>
      </c>
      <c r="H139" s="38">
        <f t="shared" si="31"/>
        <v>0</v>
      </c>
      <c r="I139" s="39">
        <v>33</v>
      </c>
      <c r="J139" s="40">
        <f t="shared" si="38"/>
        <v>0.42857142857142855</v>
      </c>
      <c r="K139" s="41">
        <v>-4.75</v>
      </c>
      <c r="L139" s="42">
        <v>1.01</v>
      </c>
      <c r="M139" s="39">
        <f t="shared" si="32"/>
        <v>33</v>
      </c>
      <c r="N139" s="40">
        <f t="shared" si="33"/>
        <v>0.42857142857142855</v>
      </c>
      <c r="O139" s="43"/>
      <c r="P139" s="44"/>
      <c r="Q139" s="45"/>
      <c r="R139" s="46"/>
      <c r="S139" s="47"/>
      <c r="T139" s="34">
        <f t="shared" si="26"/>
        <v>0</v>
      </c>
      <c r="U139" s="34">
        <f t="shared" si="34"/>
        <v>0</v>
      </c>
      <c r="V139" s="34">
        <f t="shared" si="35"/>
        <v>0</v>
      </c>
      <c r="W139" s="34">
        <f t="shared" si="36"/>
        <v>0</v>
      </c>
      <c r="X139" s="48" t="s">
        <v>368</v>
      </c>
      <c r="Y139" s="48" t="s">
        <v>365</v>
      </c>
      <c r="Z139" s="49" t="s">
        <v>47</v>
      </c>
      <c r="AA139" s="80" t="s">
        <v>377</v>
      </c>
      <c r="AB139" s="80" t="s">
        <v>378</v>
      </c>
      <c r="AC139" s="80"/>
      <c r="AD139" s="50">
        <f t="shared" si="37"/>
        <v>0.42857142857142855</v>
      </c>
      <c r="AE139" s="51">
        <f t="shared" si="27"/>
        <v>0</v>
      </c>
      <c r="AF139" s="51">
        <f t="shared" si="28"/>
        <v>0</v>
      </c>
      <c r="AG139" s="52">
        <v>6554</v>
      </c>
      <c r="AH139" s="52">
        <v>6556</v>
      </c>
      <c r="AI139" s="52">
        <v>1</v>
      </c>
      <c r="AJ139" s="52" t="s">
        <v>381</v>
      </c>
    </row>
    <row r="140" spans="1:36" ht="15.75" hidden="1" x14ac:dyDescent="0.25">
      <c r="A140" s="106" t="s">
        <v>382</v>
      </c>
      <c r="B140" s="107">
        <v>6559</v>
      </c>
      <c r="C140" s="107"/>
      <c r="D140" s="85">
        <v>77</v>
      </c>
      <c r="E140" s="36" t="str">
        <f t="shared" si="29"/>
        <v/>
      </c>
      <c r="F140" s="37" t="str">
        <f t="shared" si="30"/>
        <v/>
      </c>
      <c r="G140" s="38">
        <f t="shared" si="31"/>
        <v>0</v>
      </c>
      <c r="H140" s="38">
        <f t="shared" si="31"/>
        <v>0</v>
      </c>
      <c r="I140" s="39">
        <v>33</v>
      </c>
      <c r="J140" s="40">
        <f t="shared" si="38"/>
        <v>0.42857142857142855</v>
      </c>
      <c r="K140" s="41">
        <v>-4.75</v>
      </c>
      <c r="L140" s="42">
        <v>1.01</v>
      </c>
      <c r="M140" s="39">
        <f t="shared" si="32"/>
        <v>33</v>
      </c>
      <c r="N140" s="40">
        <f t="shared" si="33"/>
        <v>0.42857142857142855</v>
      </c>
      <c r="O140" s="43"/>
      <c r="P140" s="44"/>
      <c r="Q140" s="45"/>
      <c r="R140" s="46"/>
      <c r="S140" s="47"/>
      <c r="T140" s="34">
        <f t="shared" si="26"/>
        <v>0</v>
      </c>
      <c r="U140" s="34">
        <f t="shared" si="34"/>
        <v>0</v>
      </c>
      <c r="V140" s="34">
        <f t="shared" si="35"/>
        <v>0</v>
      </c>
      <c r="W140" s="34">
        <f t="shared" si="36"/>
        <v>0</v>
      </c>
      <c r="X140" s="48" t="s">
        <v>368</v>
      </c>
      <c r="Y140" s="48" t="s">
        <v>365</v>
      </c>
      <c r="Z140" s="49" t="s">
        <v>47</v>
      </c>
      <c r="AA140" s="80" t="s">
        <v>377</v>
      </c>
      <c r="AB140" s="80" t="s">
        <v>378</v>
      </c>
      <c r="AC140" s="80"/>
      <c r="AD140" s="50">
        <f t="shared" si="37"/>
        <v>0.42857142857142855</v>
      </c>
      <c r="AE140" s="51">
        <f t="shared" si="27"/>
        <v>0</v>
      </c>
      <c r="AF140" s="51">
        <f t="shared" si="28"/>
        <v>0</v>
      </c>
      <c r="AG140" s="52">
        <v>6554</v>
      </c>
      <c r="AH140" s="52">
        <v>6559</v>
      </c>
      <c r="AI140" s="52">
        <v>1</v>
      </c>
      <c r="AJ140" s="52" t="s">
        <v>383</v>
      </c>
    </row>
    <row r="141" spans="1:36" ht="15.75" hidden="1" x14ac:dyDescent="0.25">
      <c r="A141" s="106" t="s">
        <v>384</v>
      </c>
      <c r="B141" s="107">
        <v>6729</v>
      </c>
      <c r="C141" s="107"/>
      <c r="D141" s="85">
        <v>10999</v>
      </c>
      <c r="E141" s="36" t="str">
        <f t="shared" si="29"/>
        <v/>
      </c>
      <c r="F141" s="37" t="str">
        <f t="shared" si="30"/>
        <v/>
      </c>
      <c r="G141" s="38">
        <f t="shared" si="31"/>
        <v>0</v>
      </c>
      <c r="H141" s="38">
        <f t="shared" si="31"/>
        <v>0</v>
      </c>
      <c r="I141" s="39">
        <v>4900</v>
      </c>
      <c r="J141" s="40">
        <f t="shared" si="38"/>
        <v>0.44549504500409126</v>
      </c>
      <c r="K141" s="41">
        <v>-772</v>
      </c>
      <c r="L141" s="42">
        <v>0.97</v>
      </c>
      <c r="M141" s="39">
        <f t="shared" si="32"/>
        <v>4900</v>
      </c>
      <c r="N141" s="40">
        <f t="shared" si="33"/>
        <v>0.44549504500409126</v>
      </c>
      <c r="O141" s="43"/>
      <c r="P141" s="44"/>
      <c r="Q141" s="45"/>
      <c r="R141" s="46"/>
      <c r="S141" s="47"/>
      <c r="T141" s="34">
        <f t="shared" si="26"/>
        <v>0</v>
      </c>
      <c r="U141" s="34">
        <f t="shared" si="34"/>
        <v>0</v>
      </c>
      <c r="V141" s="34">
        <f t="shared" si="35"/>
        <v>0</v>
      </c>
      <c r="W141" s="34">
        <f t="shared" si="36"/>
        <v>0</v>
      </c>
      <c r="X141" s="48" t="s">
        <v>368</v>
      </c>
      <c r="Y141" s="48" t="s">
        <v>365</v>
      </c>
      <c r="Z141" s="49" t="s">
        <v>47</v>
      </c>
      <c r="AA141" s="80" t="s">
        <v>377</v>
      </c>
      <c r="AB141" s="80" t="s">
        <v>378</v>
      </c>
      <c r="AC141" s="80"/>
      <c r="AD141" s="50">
        <f t="shared" si="37"/>
        <v>0.44549504500409126</v>
      </c>
      <c r="AE141" s="51">
        <f t="shared" si="27"/>
        <v>0</v>
      </c>
      <c r="AF141" s="51">
        <f t="shared" si="28"/>
        <v>0</v>
      </c>
      <c r="AG141" s="52">
        <v>6730</v>
      </c>
      <c r="AH141" s="52">
        <v>6729</v>
      </c>
      <c r="AI141" s="52">
        <v>1</v>
      </c>
      <c r="AJ141" s="52" t="s">
        <v>385</v>
      </c>
    </row>
    <row r="142" spans="1:36" ht="15.75" hidden="1" x14ac:dyDescent="0.25">
      <c r="A142" s="33" t="s">
        <v>386</v>
      </c>
      <c r="B142" s="34">
        <v>8597</v>
      </c>
      <c r="C142" s="34"/>
      <c r="D142" s="35">
        <v>250</v>
      </c>
      <c r="E142" s="36" t="str">
        <f t="shared" si="29"/>
        <v/>
      </c>
      <c r="F142" s="37" t="str">
        <f t="shared" si="30"/>
        <v/>
      </c>
      <c r="G142" s="38">
        <f t="shared" si="31"/>
        <v>0</v>
      </c>
      <c r="H142" s="38">
        <f t="shared" si="31"/>
        <v>0</v>
      </c>
      <c r="I142" s="39">
        <v>93</v>
      </c>
      <c r="J142" s="40">
        <f t="shared" si="38"/>
        <v>0.372</v>
      </c>
      <c r="K142" s="41">
        <v>-18.5</v>
      </c>
      <c r="L142" s="42">
        <v>0.96499999999999997</v>
      </c>
      <c r="M142" s="39">
        <f t="shared" si="32"/>
        <v>93</v>
      </c>
      <c r="N142" s="40">
        <f t="shared" si="33"/>
        <v>0.372</v>
      </c>
      <c r="O142" s="43"/>
      <c r="P142" s="44"/>
      <c r="Q142" s="45"/>
      <c r="R142" s="46"/>
      <c r="S142" s="47"/>
      <c r="T142" s="34">
        <f t="shared" si="26"/>
        <v>0</v>
      </c>
      <c r="U142" s="34">
        <f t="shared" si="34"/>
        <v>0</v>
      </c>
      <c r="V142" s="34">
        <f t="shared" si="35"/>
        <v>0</v>
      </c>
      <c r="W142" s="34">
        <f t="shared" si="36"/>
        <v>0</v>
      </c>
      <c r="X142" s="48" t="s">
        <v>387</v>
      </c>
      <c r="Y142" s="48" t="s">
        <v>365</v>
      </c>
      <c r="Z142" s="49" t="s">
        <v>39</v>
      </c>
      <c r="AA142" s="80" t="s">
        <v>388</v>
      </c>
      <c r="AB142" s="80" t="s">
        <v>378</v>
      </c>
      <c r="AC142" s="80"/>
      <c r="AD142" s="50">
        <f t="shared" si="37"/>
        <v>0.372</v>
      </c>
      <c r="AE142" s="51">
        <f t="shared" si="27"/>
        <v>0</v>
      </c>
      <c r="AF142" s="51">
        <f t="shared" si="28"/>
        <v>0</v>
      </c>
      <c r="AG142" s="52">
        <v>8501</v>
      </c>
      <c r="AH142" s="52">
        <v>8597</v>
      </c>
      <c r="AI142" s="52">
        <v>1</v>
      </c>
      <c r="AJ142" s="53" t="s">
        <v>389</v>
      </c>
    </row>
    <row r="143" spans="1:36" ht="15.75" hidden="1" x14ac:dyDescent="0.25">
      <c r="A143" s="106" t="s">
        <v>390</v>
      </c>
      <c r="B143" s="107">
        <v>8269</v>
      </c>
      <c r="C143" s="107"/>
      <c r="D143" s="85">
        <v>369</v>
      </c>
      <c r="E143" s="36" t="str">
        <f t="shared" si="29"/>
        <v/>
      </c>
      <c r="F143" s="37" t="str">
        <f t="shared" si="30"/>
        <v/>
      </c>
      <c r="G143" s="38">
        <f t="shared" si="31"/>
        <v>0</v>
      </c>
      <c r="H143" s="38">
        <f t="shared" si="31"/>
        <v>0</v>
      </c>
      <c r="I143" s="39">
        <v>137</v>
      </c>
      <c r="J143" s="40">
        <f t="shared" si="38"/>
        <v>0.37127371273712739</v>
      </c>
      <c r="K143" s="41">
        <v>-38.700000000000003</v>
      </c>
      <c r="L143" s="42">
        <v>0.996</v>
      </c>
      <c r="M143" s="39">
        <f t="shared" si="32"/>
        <v>137</v>
      </c>
      <c r="N143" s="108">
        <f t="shared" si="33"/>
        <v>0.37127371273712739</v>
      </c>
      <c r="O143" s="109"/>
      <c r="P143" s="110"/>
      <c r="Q143" s="111"/>
      <c r="R143" s="112"/>
      <c r="S143" s="113"/>
      <c r="T143" s="114">
        <f t="shared" si="26"/>
        <v>0</v>
      </c>
      <c r="U143" s="114">
        <f t="shared" si="34"/>
        <v>0</v>
      </c>
      <c r="V143" s="34">
        <f t="shared" si="35"/>
        <v>0</v>
      </c>
      <c r="W143" s="34">
        <f t="shared" si="36"/>
        <v>0</v>
      </c>
      <c r="X143" s="48" t="s">
        <v>391</v>
      </c>
      <c r="Y143" s="48" t="s">
        <v>365</v>
      </c>
      <c r="Z143" s="49" t="s">
        <v>47</v>
      </c>
      <c r="AA143" s="80" t="s">
        <v>392</v>
      </c>
      <c r="AB143" s="80" t="s">
        <v>378</v>
      </c>
      <c r="AC143" s="80"/>
      <c r="AD143" s="50">
        <f t="shared" si="37"/>
        <v>0.37127371273712739</v>
      </c>
      <c r="AE143" s="51">
        <f t="shared" si="27"/>
        <v>0</v>
      </c>
      <c r="AF143" s="51">
        <f t="shared" si="28"/>
        <v>0</v>
      </c>
      <c r="AG143" s="52">
        <v>8268</v>
      </c>
      <c r="AH143" s="52">
        <v>8269</v>
      </c>
      <c r="AI143" s="52">
        <v>1</v>
      </c>
      <c r="AJ143" s="53" t="s">
        <v>393</v>
      </c>
    </row>
    <row r="144" spans="1:36" ht="15.75" hidden="1" x14ac:dyDescent="0.25">
      <c r="A144" s="106" t="s">
        <v>394</v>
      </c>
      <c r="B144" s="107">
        <v>8276</v>
      </c>
      <c r="C144" s="107"/>
      <c r="D144" s="85">
        <v>219</v>
      </c>
      <c r="E144" s="36" t="str">
        <f t="shared" si="29"/>
        <v/>
      </c>
      <c r="F144" s="37" t="str">
        <f t="shared" si="30"/>
        <v/>
      </c>
      <c r="G144" s="38">
        <f t="shared" si="31"/>
        <v>0</v>
      </c>
      <c r="H144" s="38">
        <f t="shared" si="31"/>
        <v>0</v>
      </c>
      <c r="I144" s="39">
        <v>62</v>
      </c>
      <c r="J144" s="40">
        <f t="shared" si="38"/>
        <v>0.28310502283105021</v>
      </c>
      <c r="K144" s="41">
        <v>-5.46</v>
      </c>
      <c r="L144" s="42">
        <v>0.98499999999999999</v>
      </c>
      <c r="M144" s="39">
        <f t="shared" si="32"/>
        <v>62</v>
      </c>
      <c r="N144" s="108">
        <f t="shared" si="33"/>
        <v>0.28310502283105021</v>
      </c>
      <c r="O144" s="109"/>
      <c r="P144" s="110"/>
      <c r="Q144" s="111"/>
      <c r="R144" s="112"/>
      <c r="S144" s="113"/>
      <c r="T144" s="114">
        <f t="shared" si="26"/>
        <v>0</v>
      </c>
      <c r="U144" s="114">
        <f t="shared" si="34"/>
        <v>0</v>
      </c>
      <c r="V144" s="34">
        <f t="shared" si="35"/>
        <v>0</v>
      </c>
      <c r="W144" s="34">
        <f t="shared" si="36"/>
        <v>0</v>
      </c>
      <c r="X144" s="48" t="s">
        <v>395</v>
      </c>
      <c r="Y144" s="48" t="s">
        <v>365</v>
      </c>
      <c r="Z144" s="49" t="s">
        <v>47</v>
      </c>
      <c r="AA144" s="80" t="s">
        <v>98</v>
      </c>
      <c r="AB144" s="80" t="s">
        <v>378</v>
      </c>
      <c r="AC144" s="80"/>
      <c r="AD144" s="50">
        <f t="shared" si="37"/>
        <v>0.28310502283105021</v>
      </c>
      <c r="AE144" s="51">
        <f t="shared" si="27"/>
        <v>0</v>
      </c>
      <c r="AF144" s="51">
        <f t="shared" si="28"/>
        <v>0</v>
      </c>
      <c r="AG144" s="52">
        <v>8277</v>
      </c>
      <c r="AH144" s="52">
        <v>8276</v>
      </c>
      <c r="AI144" s="52">
        <v>1</v>
      </c>
      <c r="AJ144" s="53" t="s">
        <v>396</v>
      </c>
    </row>
    <row r="145" spans="1:36" ht="15.75" hidden="1" x14ac:dyDescent="0.25">
      <c r="A145" s="33" t="s">
        <v>397</v>
      </c>
      <c r="B145" s="34">
        <v>8224</v>
      </c>
      <c r="C145" s="34"/>
      <c r="D145" s="35">
        <v>48</v>
      </c>
      <c r="E145" s="36" t="str">
        <f t="shared" si="29"/>
        <v/>
      </c>
      <c r="F145" s="37" t="str">
        <f t="shared" si="30"/>
        <v/>
      </c>
      <c r="G145" s="38">
        <f t="shared" si="31"/>
        <v>0</v>
      </c>
      <c r="H145" s="38">
        <f t="shared" si="31"/>
        <v>0</v>
      </c>
      <c r="I145" s="39">
        <v>21</v>
      </c>
      <c r="J145" s="40">
        <f t="shared" si="38"/>
        <v>0.4375</v>
      </c>
      <c r="K145" s="41">
        <v>-1.18</v>
      </c>
      <c r="L145" s="42">
        <v>0.98799999999999999</v>
      </c>
      <c r="M145" s="39">
        <f t="shared" si="32"/>
        <v>21</v>
      </c>
      <c r="N145" s="108">
        <f t="shared" si="33"/>
        <v>0.4375</v>
      </c>
      <c r="O145" s="109"/>
      <c r="P145" s="110"/>
      <c r="Q145" s="111"/>
      <c r="R145" s="112"/>
      <c r="S145" s="113"/>
      <c r="T145" s="114">
        <f t="shared" si="26"/>
        <v>0</v>
      </c>
      <c r="U145" s="114">
        <f t="shared" si="34"/>
        <v>0</v>
      </c>
      <c r="V145" s="34">
        <f t="shared" si="35"/>
        <v>0</v>
      </c>
      <c r="W145" s="34">
        <f t="shared" si="36"/>
        <v>0</v>
      </c>
      <c r="X145" s="48" t="s">
        <v>395</v>
      </c>
      <c r="Y145" s="48" t="s">
        <v>365</v>
      </c>
      <c r="Z145" s="49" t="s">
        <v>47</v>
      </c>
      <c r="AA145" s="80" t="s">
        <v>98</v>
      </c>
      <c r="AB145" s="80" t="s">
        <v>378</v>
      </c>
      <c r="AC145" s="80"/>
      <c r="AD145" s="50">
        <f t="shared" si="37"/>
        <v>0.4375</v>
      </c>
      <c r="AE145" s="51">
        <f t="shared" si="27"/>
        <v>0</v>
      </c>
      <c r="AF145" s="51">
        <f t="shared" si="28"/>
        <v>0</v>
      </c>
      <c r="AG145" s="52">
        <v>8272</v>
      </c>
      <c r="AH145" s="52">
        <v>8224</v>
      </c>
      <c r="AI145" s="52">
        <v>1</v>
      </c>
      <c r="AJ145" s="53" t="s">
        <v>398</v>
      </c>
    </row>
    <row r="146" spans="1:36" ht="15.75" hidden="1" x14ac:dyDescent="0.25">
      <c r="A146" s="33" t="s">
        <v>399</v>
      </c>
      <c r="B146" s="34">
        <v>8225</v>
      </c>
      <c r="C146" s="34"/>
      <c r="D146" s="35">
        <v>30</v>
      </c>
      <c r="E146" s="36" t="str">
        <f t="shared" si="29"/>
        <v/>
      </c>
      <c r="F146" s="37" t="str">
        <f t="shared" si="30"/>
        <v/>
      </c>
      <c r="G146" s="38">
        <f t="shared" si="31"/>
        <v>0</v>
      </c>
      <c r="H146" s="38">
        <f t="shared" si="31"/>
        <v>0</v>
      </c>
      <c r="I146" s="39">
        <v>30</v>
      </c>
      <c r="J146" s="40">
        <f t="shared" si="38"/>
        <v>1</v>
      </c>
      <c r="K146" s="41">
        <v>0.75880000000000003</v>
      </c>
      <c r="L146" s="42">
        <v>0.99</v>
      </c>
      <c r="M146" s="39">
        <f t="shared" si="32"/>
        <v>30</v>
      </c>
      <c r="N146" s="108">
        <f t="shared" si="33"/>
        <v>1</v>
      </c>
      <c r="O146" s="109"/>
      <c r="P146" s="110"/>
      <c r="Q146" s="111"/>
      <c r="R146" s="112"/>
      <c r="S146" s="113"/>
      <c r="T146" s="114">
        <f t="shared" si="26"/>
        <v>0</v>
      </c>
      <c r="U146" s="114">
        <f t="shared" si="34"/>
        <v>0</v>
      </c>
      <c r="V146" s="34">
        <f t="shared" si="35"/>
        <v>0</v>
      </c>
      <c r="W146" s="34">
        <f t="shared" si="36"/>
        <v>0</v>
      </c>
      <c r="X146" s="48" t="s">
        <v>395</v>
      </c>
      <c r="Y146" s="48" t="s">
        <v>365</v>
      </c>
      <c r="Z146" s="49" t="s">
        <v>47</v>
      </c>
      <c r="AA146" s="80" t="s">
        <v>98</v>
      </c>
      <c r="AB146" s="80" t="s">
        <v>378</v>
      </c>
      <c r="AC146" s="80"/>
      <c r="AD146" s="50">
        <f t="shared" si="37"/>
        <v>1</v>
      </c>
      <c r="AE146" s="51">
        <f t="shared" si="27"/>
        <v>0</v>
      </c>
      <c r="AF146" s="51">
        <f t="shared" si="28"/>
        <v>0</v>
      </c>
      <c r="AG146" s="52">
        <v>8272</v>
      </c>
      <c r="AH146" s="52">
        <v>8225</v>
      </c>
      <c r="AI146" s="52">
        <v>1</v>
      </c>
      <c r="AJ146" s="53" t="s">
        <v>400</v>
      </c>
    </row>
    <row r="147" spans="1:36" ht="15.75" hidden="1" x14ac:dyDescent="0.25">
      <c r="A147" s="106" t="s">
        <v>401</v>
      </c>
      <c r="B147" s="107">
        <v>8279</v>
      </c>
      <c r="C147" s="107"/>
      <c r="D147" s="85">
        <v>252</v>
      </c>
      <c r="E147" s="36" t="str">
        <f t="shared" si="29"/>
        <v/>
      </c>
      <c r="F147" s="37" t="str">
        <f t="shared" si="30"/>
        <v/>
      </c>
      <c r="G147" s="38">
        <f t="shared" si="31"/>
        <v>0</v>
      </c>
      <c r="H147" s="38">
        <f t="shared" si="31"/>
        <v>0</v>
      </c>
      <c r="I147" s="39">
        <v>69</v>
      </c>
      <c r="J147" s="40">
        <f t="shared" si="38"/>
        <v>0.27380952380952384</v>
      </c>
      <c r="K147" s="41">
        <v>4.9320000000000004</v>
      </c>
      <c r="L147" s="42">
        <v>0.998</v>
      </c>
      <c r="M147" s="39">
        <f t="shared" si="32"/>
        <v>69</v>
      </c>
      <c r="N147" s="108">
        <f t="shared" si="33"/>
        <v>0.27380952380952384</v>
      </c>
      <c r="O147" s="109"/>
      <c r="P147" s="110"/>
      <c r="Q147" s="111"/>
      <c r="R147" s="112"/>
      <c r="S147" s="113"/>
      <c r="T147" s="114">
        <f t="shared" si="26"/>
        <v>0</v>
      </c>
      <c r="U147" s="114">
        <f t="shared" si="34"/>
        <v>0</v>
      </c>
      <c r="V147" s="34">
        <f t="shared" si="35"/>
        <v>0</v>
      </c>
      <c r="W147" s="34">
        <f t="shared" si="36"/>
        <v>0</v>
      </c>
      <c r="X147" s="48" t="s">
        <v>395</v>
      </c>
      <c r="Y147" s="48" t="s">
        <v>365</v>
      </c>
      <c r="Z147" s="49" t="s">
        <v>47</v>
      </c>
      <c r="AA147" s="80" t="s">
        <v>98</v>
      </c>
      <c r="AB147" s="80" t="s">
        <v>378</v>
      </c>
      <c r="AC147" s="80"/>
      <c r="AD147" s="50">
        <f t="shared" si="37"/>
        <v>0.27380952380952384</v>
      </c>
      <c r="AE147" s="51">
        <f t="shared" si="27"/>
        <v>0</v>
      </c>
      <c r="AF147" s="51">
        <f t="shared" si="28"/>
        <v>0</v>
      </c>
      <c r="AG147" s="52">
        <v>8278</v>
      </c>
      <c r="AH147" s="52">
        <v>8279</v>
      </c>
      <c r="AI147" s="52">
        <v>1</v>
      </c>
      <c r="AJ147" s="53" t="s">
        <v>402</v>
      </c>
    </row>
    <row r="148" spans="1:36" ht="15.75" hidden="1" x14ac:dyDescent="0.25">
      <c r="A148" s="33" t="s">
        <v>403</v>
      </c>
      <c r="B148" s="34">
        <v>6888</v>
      </c>
      <c r="C148" s="34"/>
      <c r="D148" s="85">
        <v>216</v>
      </c>
      <c r="E148" s="36" t="str">
        <f t="shared" si="29"/>
        <v/>
      </c>
      <c r="F148" s="37" t="str">
        <f t="shared" si="30"/>
        <v/>
      </c>
      <c r="G148" s="38">
        <f t="shared" si="31"/>
        <v>0</v>
      </c>
      <c r="H148" s="38">
        <f t="shared" si="31"/>
        <v>0</v>
      </c>
      <c r="I148" s="39">
        <v>22.18</v>
      </c>
      <c r="J148" s="40">
        <f t="shared" si="38"/>
        <v>0.10268518518518518</v>
      </c>
      <c r="K148" s="41">
        <v>-28.3</v>
      </c>
      <c r="L148" s="42">
        <v>1</v>
      </c>
      <c r="M148" s="39">
        <f t="shared" si="32"/>
        <v>22.18</v>
      </c>
      <c r="N148" s="108">
        <f t="shared" si="33"/>
        <v>0.10268518518518518</v>
      </c>
      <c r="O148" s="109"/>
      <c r="P148" s="110"/>
      <c r="Q148" s="111"/>
      <c r="R148" s="112"/>
      <c r="S148" s="113"/>
      <c r="T148" s="114">
        <f t="shared" si="26"/>
        <v>0</v>
      </c>
      <c r="U148" s="114">
        <f t="shared" si="34"/>
        <v>0</v>
      </c>
      <c r="V148" s="34">
        <f t="shared" si="35"/>
        <v>0</v>
      </c>
      <c r="W148" s="34">
        <f t="shared" si="36"/>
        <v>0</v>
      </c>
      <c r="X148" s="48" t="s">
        <v>404</v>
      </c>
      <c r="Y148" s="48" t="s">
        <v>38</v>
      </c>
      <c r="Z148" s="49" t="s">
        <v>47</v>
      </c>
      <c r="AA148" s="80" t="s">
        <v>405</v>
      </c>
      <c r="AB148" s="80" t="s">
        <v>378</v>
      </c>
      <c r="AC148" s="80"/>
      <c r="AD148" s="50">
        <f t="shared" si="37"/>
        <v>0.10268518518518518</v>
      </c>
      <c r="AE148" s="51">
        <f t="shared" si="27"/>
        <v>0</v>
      </c>
      <c r="AF148" s="51">
        <f t="shared" si="28"/>
        <v>0</v>
      </c>
      <c r="AG148" s="52">
        <v>6889</v>
      </c>
      <c r="AH148" s="52">
        <v>6888</v>
      </c>
      <c r="AI148" s="52">
        <v>1</v>
      </c>
      <c r="AJ148" s="52" t="s">
        <v>406</v>
      </c>
    </row>
    <row r="149" spans="1:36" ht="15.75" hidden="1" x14ac:dyDescent="0.25">
      <c r="A149" s="33" t="s">
        <v>407</v>
      </c>
      <c r="B149" s="34">
        <v>6892</v>
      </c>
      <c r="C149" s="34"/>
      <c r="D149" s="85">
        <v>216</v>
      </c>
      <c r="E149" s="36" t="str">
        <f t="shared" si="29"/>
        <v/>
      </c>
      <c r="F149" s="37" t="str">
        <f t="shared" si="30"/>
        <v/>
      </c>
      <c r="G149" s="38">
        <f t="shared" si="31"/>
        <v>0</v>
      </c>
      <c r="H149" s="38">
        <f t="shared" si="31"/>
        <v>0</v>
      </c>
      <c r="I149" s="39">
        <v>22.18</v>
      </c>
      <c r="J149" s="40">
        <f t="shared" si="38"/>
        <v>0.10268518518518518</v>
      </c>
      <c r="K149" s="41">
        <v>-28.3</v>
      </c>
      <c r="L149" s="42">
        <v>1</v>
      </c>
      <c r="M149" s="39">
        <f t="shared" si="32"/>
        <v>22.18</v>
      </c>
      <c r="N149" s="108">
        <f t="shared" si="33"/>
        <v>0.10268518518518518</v>
      </c>
      <c r="O149" s="109"/>
      <c r="P149" s="110"/>
      <c r="Q149" s="111"/>
      <c r="R149" s="112"/>
      <c r="S149" s="113"/>
      <c r="T149" s="114">
        <f t="shared" si="26"/>
        <v>0</v>
      </c>
      <c r="U149" s="114">
        <f t="shared" si="34"/>
        <v>0</v>
      </c>
      <c r="V149" s="34">
        <f t="shared" si="35"/>
        <v>0</v>
      </c>
      <c r="W149" s="34">
        <f t="shared" si="36"/>
        <v>0</v>
      </c>
      <c r="X149" s="48" t="s">
        <v>404</v>
      </c>
      <c r="Y149" s="48" t="s">
        <v>38</v>
      </c>
      <c r="Z149" s="49" t="s">
        <v>47</v>
      </c>
      <c r="AA149" s="80" t="s">
        <v>405</v>
      </c>
      <c r="AB149" s="80" t="s">
        <v>378</v>
      </c>
      <c r="AC149" s="80"/>
      <c r="AD149" s="50">
        <f t="shared" si="37"/>
        <v>0.10268518518518518</v>
      </c>
      <c r="AE149" s="51">
        <f t="shared" si="27"/>
        <v>0</v>
      </c>
      <c r="AF149" s="51">
        <f t="shared" si="28"/>
        <v>0</v>
      </c>
      <c r="AG149" s="52">
        <v>6889</v>
      </c>
      <c r="AH149" s="52">
        <v>6892</v>
      </c>
      <c r="AI149" s="52">
        <v>1</v>
      </c>
      <c r="AJ149" s="52" t="s">
        <v>408</v>
      </c>
    </row>
    <row r="150" spans="1:36" ht="15.75" hidden="1" x14ac:dyDescent="0.25">
      <c r="A150" s="33" t="s">
        <v>409</v>
      </c>
      <c r="B150" s="34">
        <v>7050</v>
      </c>
      <c r="C150" s="34"/>
      <c r="D150" s="35">
        <v>576</v>
      </c>
      <c r="E150" s="36" t="str">
        <f t="shared" si="29"/>
        <v/>
      </c>
      <c r="F150" s="37" t="str">
        <f t="shared" si="30"/>
        <v/>
      </c>
      <c r="G150" s="38">
        <f t="shared" si="31"/>
        <v>0</v>
      </c>
      <c r="H150" s="38">
        <f t="shared" si="31"/>
        <v>0</v>
      </c>
      <c r="I150" s="39">
        <v>426</v>
      </c>
      <c r="J150" s="40">
        <f t="shared" si="38"/>
        <v>0.73958333333333337</v>
      </c>
      <c r="K150" s="41">
        <v>38.5</v>
      </c>
      <c r="L150" s="42">
        <v>1.01</v>
      </c>
      <c r="M150" s="39">
        <f t="shared" si="32"/>
        <v>426</v>
      </c>
      <c r="N150" s="108">
        <f t="shared" si="33"/>
        <v>0.73958333333333337</v>
      </c>
      <c r="O150" s="109"/>
      <c r="P150" s="110"/>
      <c r="Q150" s="112"/>
      <c r="R150" s="112"/>
      <c r="S150" s="113"/>
      <c r="T150" s="114">
        <f t="shared" si="26"/>
        <v>0</v>
      </c>
      <c r="U150" s="114">
        <f t="shared" si="34"/>
        <v>0</v>
      </c>
      <c r="V150" s="34">
        <f t="shared" si="35"/>
        <v>0</v>
      </c>
      <c r="W150" s="34">
        <f t="shared" si="36"/>
        <v>0</v>
      </c>
      <c r="X150" s="48" t="s">
        <v>404</v>
      </c>
      <c r="Y150" s="48" t="s">
        <v>38</v>
      </c>
      <c r="Z150" s="49" t="s">
        <v>47</v>
      </c>
      <c r="AA150" s="80" t="s">
        <v>405</v>
      </c>
      <c r="AB150" s="80" t="s">
        <v>378</v>
      </c>
      <c r="AC150" s="80"/>
      <c r="AD150" s="50">
        <f t="shared" si="37"/>
        <v>0.73958333333333337</v>
      </c>
      <c r="AE150" s="51">
        <f t="shared" si="27"/>
        <v>0</v>
      </c>
      <c r="AF150" s="51">
        <f t="shared" si="28"/>
        <v>0</v>
      </c>
      <c r="AG150" s="52">
        <v>7053</v>
      </c>
      <c r="AH150" s="52">
        <v>7050</v>
      </c>
      <c r="AI150" s="52">
        <v>1</v>
      </c>
      <c r="AJ150" s="52" t="s">
        <v>410</v>
      </c>
    </row>
    <row r="151" spans="1:36" ht="15.75" hidden="1" x14ac:dyDescent="0.25">
      <c r="A151" s="33" t="s">
        <v>411</v>
      </c>
      <c r="B151" s="34">
        <v>7062</v>
      </c>
      <c r="C151" s="34"/>
      <c r="D151" s="35">
        <v>864</v>
      </c>
      <c r="E151" s="36" t="str">
        <f t="shared" si="29"/>
        <v/>
      </c>
      <c r="F151" s="37" t="str">
        <f t="shared" si="30"/>
        <v/>
      </c>
      <c r="G151" s="38">
        <f t="shared" si="31"/>
        <v>0</v>
      </c>
      <c r="H151" s="38">
        <f t="shared" si="31"/>
        <v>0</v>
      </c>
      <c r="I151" s="39">
        <v>639</v>
      </c>
      <c r="J151" s="40">
        <f t="shared" si="38"/>
        <v>0.73958333333333337</v>
      </c>
      <c r="K151" s="41">
        <v>68.44</v>
      </c>
      <c r="L151" s="42">
        <v>1.01</v>
      </c>
      <c r="M151" s="39">
        <f t="shared" si="32"/>
        <v>639</v>
      </c>
      <c r="N151" s="108">
        <f t="shared" si="33"/>
        <v>0.73958333333333337</v>
      </c>
      <c r="O151" s="109"/>
      <c r="P151" s="110"/>
      <c r="Q151" s="111"/>
      <c r="R151" s="112"/>
      <c r="S151" s="113"/>
      <c r="T151" s="114">
        <f t="shared" si="26"/>
        <v>0</v>
      </c>
      <c r="U151" s="114">
        <f t="shared" si="34"/>
        <v>0</v>
      </c>
      <c r="V151" s="34">
        <f t="shared" si="35"/>
        <v>0</v>
      </c>
      <c r="W151" s="34">
        <f t="shared" si="36"/>
        <v>0</v>
      </c>
      <c r="X151" s="48" t="s">
        <v>404</v>
      </c>
      <c r="Y151" s="48" t="s">
        <v>38</v>
      </c>
      <c r="Z151" s="49" t="s">
        <v>47</v>
      </c>
      <c r="AA151" s="80" t="s">
        <v>405</v>
      </c>
      <c r="AB151" s="80" t="s">
        <v>378</v>
      </c>
      <c r="AC151" s="80"/>
      <c r="AD151" s="50">
        <f t="shared" si="37"/>
        <v>0.73958333333333337</v>
      </c>
      <c r="AE151" s="51">
        <f t="shared" si="27"/>
        <v>0</v>
      </c>
      <c r="AF151" s="51">
        <f t="shared" si="28"/>
        <v>0</v>
      </c>
      <c r="AG151" s="52">
        <v>7063</v>
      </c>
      <c r="AH151" s="52">
        <v>7062</v>
      </c>
      <c r="AI151" s="52">
        <v>1</v>
      </c>
      <c r="AJ151" s="52" t="s">
        <v>412</v>
      </c>
    </row>
    <row r="152" spans="1:36" ht="15.75" hidden="1" x14ac:dyDescent="0.25">
      <c r="A152" s="33" t="s">
        <v>413</v>
      </c>
      <c r="B152" s="34">
        <v>7064</v>
      </c>
      <c r="C152" s="34"/>
      <c r="D152" s="35">
        <v>1728</v>
      </c>
      <c r="E152" s="36" t="str">
        <f t="shared" si="29"/>
        <v/>
      </c>
      <c r="F152" s="37" t="str">
        <f t="shared" si="30"/>
        <v/>
      </c>
      <c r="G152" s="38">
        <f t="shared" si="31"/>
        <v>0</v>
      </c>
      <c r="H152" s="38">
        <f t="shared" si="31"/>
        <v>0</v>
      </c>
      <c r="I152" s="39">
        <v>1278</v>
      </c>
      <c r="J152" s="40">
        <f t="shared" si="38"/>
        <v>0.73958333333333337</v>
      </c>
      <c r="K152" s="41">
        <v>174.9</v>
      </c>
      <c r="L152" s="42">
        <v>1.02</v>
      </c>
      <c r="M152" s="39">
        <f t="shared" si="32"/>
        <v>1278</v>
      </c>
      <c r="N152" s="40">
        <f t="shared" si="33"/>
        <v>0.73958333333333337</v>
      </c>
      <c r="O152" s="43"/>
      <c r="P152" s="44"/>
      <c r="Q152" s="45"/>
      <c r="R152" s="46"/>
      <c r="S152" s="47"/>
      <c r="T152" s="34">
        <f t="shared" si="26"/>
        <v>0</v>
      </c>
      <c r="U152" s="34">
        <f t="shared" si="34"/>
        <v>0</v>
      </c>
      <c r="V152" s="34">
        <f t="shared" si="35"/>
        <v>0</v>
      </c>
      <c r="W152" s="34">
        <f t="shared" si="36"/>
        <v>0</v>
      </c>
      <c r="X152" s="48" t="s">
        <v>404</v>
      </c>
      <c r="Y152" s="48" t="s">
        <v>38</v>
      </c>
      <c r="Z152" s="49" t="s">
        <v>47</v>
      </c>
      <c r="AA152" s="80" t="s">
        <v>405</v>
      </c>
      <c r="AB152" s="80" t="s">
        <v>378</v>
      </c>
      <c r="AC152" s="80"/>
      <c r="AD152" s="50">
        <f t="shared" si="37"/>
        <v>0.73958333333333337</v>
      </c>
      <c r="AE152" s="51">
        <f t="shared" si="27"/>
        <v>0</v>
      </c>
      <c r="AF152" s="51">
        <f t="shared" si="28"/>
        <v>0</v>
      </c>
      <c r="AG152" s="52">
        <v>7065</v>
      </c>
      <c r="AH152" s="52">
        <v>7064</v>
      </c>
      <c r="AI152" s="52">
        <v>1</v>
      </c>
      <c r="AJ152" s="52" t="s">
        <v>414</v>
      </c>
    </row>
    <row r="153" spans="1:36" ht="15.75" hidden="1" x14ac:dyDescent="0.25">
      <c r="A153" s="33" t="s">
        <v>415</v>
      </c>
      <c r="B153" s="34">
        <v>7051</v>
      </c>
      <c r="C153" s="34"/>
      <c r="D153" s="35">
        <v>2100</v>
      </c>
      <c r="E153" s="36" t="str">
        <f t="shared" si="29"/>
        <v/>
      </c>
      <c r="F153" s="37" t="str">
        <f t="shared" si="30"/>
        <v/>
      </c>
      <c r="G153" s="38">
        <f t="shared" si="31"/>
        <v>0</v>
      </c>
      <c r="H153" s="38">
        <f t="shared" si="31"/>
        <v>0</v>
      </c>
      <c r="I153" s="39">
        <v>1555</v>
      </c>
      <c r="J153" s="40">
        <f t="shared" si="38"/>
        <v>0.74047619047619051</v>
      </c>
      <c r="K153" s="41">
        <v>163.80000000000001</v>
      </c>
      <c r="L153" s="42">
        <v>1.02</v>
      </c>
      <c r="M153" s="39">
        <f t="shared" si="32"/>
        <v>1555</v>
      </c>
      <c r="N153" s="40">
        <f t="shared" si="33"/>
        <v>0.74047619047619051</v>
      </c>
      <c r="O153" s="43"/>
      <c r="P153" s="44"/>
      <c r="Q153" s="45"/>
      <c r="R153" s="46"/>
      <c r="S153" s="47"/>
      <c r="T153" s="34">
        <f t="shared" si="26"/>
        <v>0</v>
      </c>
      <c r="U153" s="34">
        <f t="shared" si="34"/>
        <v>0</v>
      </c>
      <c r="V153" s="34">
        <f t="shared" si="35"/>
        <v>0</v>
      </c>
      <c r="W153" s="34">
        <f t="shared" si="36"/>
        <v>0</v>
      </c>
      <c r="X153" s="48" t="s">
        <v>404</v>
      </c>
      <c r="Y153" s="48" t="s">
        <v>38</v>
      </c>
      <c r="Z153" s="49" t="s">
        <v>47</v>
      </c>
      <c r="AA153" s="80" t="s">
        <v>405</v>
      </c>
      <c r="AB153" s="80" t="s">
        <v>378</v>
      </c>
      <c r="AC153" s="80"/>
      <c r="AD153" s="50">
        <f t="shared" si="37"/>
        <v>0.74047619047619051</v>
      </c>
      <c r="AE153" s="51">
        <f t="shared" si="27"/>
        <v>0</v>
      </c>
      <c r="AF153" s="51">
        <f t="shared" si="28"/>
        <v>0</v>
      </c>
      <c r="AG153" s="52">
        <v>7056</v>
      </c>
      <c r="AH153" s="52">
        <v>7051</v>
      </c>
      <c r="AI153" s="52">
        <v>1</v>
      </c>
      <c r="AJ153" s="52" t="s">
        <v>416</v>
      </c>
    </row>
    <row r="154" spans="1:36" ht="15.75" hidden="1" x14ac:dyDescent="0.25">
      <c r="A154" s="33" t="s">
        <v>417</v>
      </c>
      <c r="B154" s="34">
        <v>7061</v>
      </c>
      <c r="C154" s="34"/>
      <c r="D154" s="35">
        <v>1650</v>
      </c>
      <c r="E154" s="36" t="str">
        <f t="shared" si="29"/>
        <v/>
      </c>
      <c r="F154" s="37" t="str">
        <f t="shared" si="30"/>
        <v/>
      </c>
      <c r="G154" s="38">
        <f t="shared" si="31"/>
        <v>0</v>
      </c>
      <c r="H154" s="38">
        <f t="shared" si="31"/>
        <v>0</v>
      </c>
      <c r="I154" s="39">
        <v>1220</v>
      </c>
      <c r="J154" s="40">
        <f t="shared" si="38"/>
        <v>0.73939393939393938</v>
      </c>
      <c r="K154" s="41">
        <v>99.16</v>
      </c>
      <c r="L154" s="42">
        <v>1.01</v>
      </c>
      <c r="M154" s="39">
        <f t="shared" si="32"/>
        <v>1220</v>
      </c>
      <c r="N154" s="40">
        <f t="shared" si="33"/>
        <v>0.73939393939393938</v>
      </c>
      <c r="O154" s="43"/>
      <c r="P154" s="44"/>
      <c r="Q154" s="45"/>
      <c r="R154" s="46"/>
      <c r="S154" s="47"/>
      <c r="T154" s="34">
        <f t="shared" si="26"/>
        <v>0</v>
      </c>
      <c r="U154" s="34">
        <f t="shared" si="34"/>
        <v>0</v>
      </c>
      <c r="V154" s="34">
        <f t="shared" si="35"/>
        <v>0</v>
      </c>
      <c r="W154" s="34">
        <f t="shared" si="36"/>
        <v>0</v>
      </c>
      <c r="X154" s="48" t="s">
        <v>404</v>
      </c>
      <c r="Y154" s="48" t="s">
        <v>38</v>
      </c>
      <c r="Z154" s="49" t="s">
        <v>47</v>
      </c>
      <c r="AA154" s="80" t="s">
        <v>405</v>
      </c>
      <c r="AB154" s="80" t="s">
        <v>378</v>
      </c>
      <c r="AC154" s="80"/>
      <c r="AD154" s="50">
        <f t="shared" si="37"/>
        <v>0.73939393939393938</v>
      </c>
      <c r="AE154" s="51">
        <f t="shared" si="27"/>
        <v>0</v>
      </c>
      <c r="AF154" s="51">
        <f t="shared" si="28"/>
        <v>0</v>
      </c>
      <c r="AG154" s="52">
        <v>7060</v>
      </c>
      <c r="AH154" s="52">
        <v>7061</v>
      </c>
      <c r="AI154" s="52">
        <v>1</v>
      </c>
      <c r="AJ154" s="52" t="s">
        <v>418</v>
      </c>
    </row>
    <row r="155" spans="1:36" ht="15.75" hidden="1" x14ac:dyDescent="0.25">
      <c r="A155" s="33" t="s">
        <v>419</v>
      </c>
      <c r="B155" s="34">
        <v>6891</v>
      </c>
      <c r="C155" s="34"/>
      <c r="D155" s="35">
        <v>216</v>
      </c>
      <c r="E155" s="36" t="str">
        <f t="shared" si="29"/>
        <v/>
      </c>
      <c r="F155" s="37" t="str">
        <f t="shared" si="30"/>
        <v/>
      </c>
      <c r="G155" s="38">
        <f t="shared" si="31"/>
        <v>0</v>
      </c>
      <c r="H155" s="38">
        <f t="shared" si="31"/>
        <v>0</v>
      </c>
      <c r="I155" s="39">
        <v>60</v>
      </c>
      <c r="J155" s="40">
        <f t="shared" si="38"/>
        <v>0.27777777777777779</v>
      </c>
      <c r="K155" s="41">
        <v>-12.7</v>
      </c>
      <c r="L155" s="42">
        <v>0.97599999999999998</v>
      </c>
      <c r="M155" s="39">
        <f t="shared" si="32"/>
        <v>60</v>
      </c>
      <c r="N155" s="40">
        <f t="shared" si="33"/>
        <v>0.27777777777777779</v>
      </c>
      <c r="O155" s="43"/>
      <c r="P155" s="44"/>
      <c r="Q155" s="45"/>
      <c r="R155" s="46"/>
      <c r="S155" s="47"/>
      <c r="T155" s="34">
        <f t="shared" si="26"/>
        <v>0</v>
      </c>
      <c r="U155" s="34">
        <f t="shared" si="34"/>
        <v>0</v>
      </c>
      <c r="V155" s="34">
        <f t="shared" si="35"/>
        <v>0</v>
      </c>
      <c r="W155" s="34">
        <f t="shared" si="36"/>
        <v>0</v>
      </c>
      <c r="X155" s="48" t="s">
        <v>404</v>
      </c>
      <c r="Y155" s="48" t="s">
        <v>38</v>
      </c>
      <c r="Z155" s="49" t="s">
        <v>39</v>
      </c>
      <c r="AA155" s="80" t="s">
        <v>420</v>
      </c>
      <c r="AB155" s="80" t="s">
        <v>378</v>
      </c>
      <c r="AC155" s="80"/>
      <c r="AD155" s="50">
        <f t="shared" si="37"/>
        <v>0.27777777777777779</v>
      </c>
      <c r="AE155" s="51">
        <f t="shared" si="27"/>
        <v>0</v>
      </c>
      <c r="AF155" s="51">
        <f t="shared" si="28"/>
        <v>0</v>
      </c>
      <c r="AG155" s="52">
        <v>6890</v>
      </c>
      <c r="AH155" s="52">
        <v>6891</v>
      </c>
      <c r="AI155" s="52">
        <v>1</v>
      </c>
      <c r="AJ155" s="53" t="s">
        <v>421</v>
      </c>
    </row>
    <row r="156" spans="1:36" ht="15.75" hidden="1" x14ac:dyDescent="0.25">
      <c r="A156" s="33" t="s">
        <v>422</v>
      </c>
      <c r="B156" s="34">
        <v>6831</v>
      </c>
      <c r="C156" s="34"/>
      <c r="D156" s="35">
        <v>73</v>
      </c>
      <c r="E156" s="36" t="str">
        <f t="shared" si="29"/>
        <v/>
      </c>
      <c r="F156" s="37" t="str">
        <f t="shared" si="30"/>
        <v/>
      </c>
      <c r="G156" s="38">
        <f t="shared" si="31"/>
        <v>0</v>
      </c>
      <c r="H156" s="38">
        <f t="shared" si="31"/>
        <v>0</v>
      </c>
      <c r="I156" s="39">
        <v>34</v>
      </c>
      <c r="J156" s="40">
        <f t="shared" si="38"/>
        <v>0.46575342465753422</v>
      </c>
      <c r="K156" s="41">
        <v>-12.7</v>
      </c>
      <c r="L156" s="42">
        <v>0.97099999999999997</v>
      </c>
      <c r="M156" s="39">
        <f t="shared" si="32"/>
        <v>34</v>
      </c>
      <c r="N156" s="40">
        <f t="shared" si="33"/>
        <v>0.46575342465753422</v>
      </c>
      <c r="O156" s="43"/>
      <c r="P156" s="44"/>
      <c r="Q156" s="45"/>
      <c r="R156" s="46"/>
      <c r="S156" s="47"/>
      <c r="T156" s="34">
        <f t="shared" si="26"/>
        <v>0</v>
      </c>
      <c r="U156" s="34">
        <f t="shared" si="34"/>
        <v>0</v>
      </c>
      <c r="V156" s="34">
        <f t="shared" si="35"/>
        <v>0</v>
      </c>
      <c r="W156" s="34">
        <f t="shared" si="36"/>
        <v>0</v>
      </c>
      <c r="X156" s="48" t="s">
        <v>404</v>
      </c>
      <c r="Y156" s="48" t="s">
        <v>38</v>
      </c>
      <c r="Z156" s="49" t="s">
        <v>47</v>
      </c>
      <c r="AA156" s="80" t="s">
        <v>423</v>
      </c>
      <c r="AB156" s="80" t="s">
        <v>378</v>
      </c>
      <c r="AC156" s="80"/>
      <c r="AD156" s="50">
        <f t="shared" si="37"/>
        <v>0.46575342465753422</v>
      </c>
      <c r="AE156" s="51">
        <f t="shared" si="27"/>
        <v>0</v>
      </c>
      <c r="AF156" s="51">
        <f t="shared" si="28"/>
        <v>0</v>
      </c>
      <c r="AG156" s="52">
        <v>6831</v>
      </c>
      <c r="AH156" s="52">
        <v>6829</v>
      </c>
      <c r="AI156" s="52">
        <v>1</v>
      </c>
      <c r="AJ156" s="53" t="s">
        <v>424</v>
      </c>
    </row>
    <row r="157" spans="1:36" ht="15.75" hidden="1" x14ac:dyDescent="0.25">
      <c r="A157" s="33" t="s">
        <v>425</v>
      </c>
      <c r="B157" s="34">
        <v>4890</v>
      </c>
      <c r="C157" s="34"/>
      <c r="D157" s="35">
        <v>224</v>
      </c>
      <c r="E157" s="36" t="str">
        <f t="shared" si="29"/>
        <v/>
      </c>
      <c r="F157" s="37" t="str">
        <f t="shared" si="30"/>
        <v/>
      </c>
      <c r="G157" s="38">
        <f t="shared" si="31"/>
        <v>0</v>
      </c>
      <c r="H157" s="38">
        <f t="shared" si="31"/>
        <v>0</v>
      </c>
      <c r="I157" s="39">
        <v>38</v>
      </c>
      <c r="J157" s="40">
        <f t="shared" si="38"/>
        <v>0.16964285714285715</v>
      </c>
      <c r="K157" s="41">
        <v>-18.2</v>
      </c>
      <c r="L157" s="42">
        <v>0.95</v>
      </c>
      <c r="M157" s="39">
        <f t="shared" si="32"/>
        <v>38</v>
      </c>
      <c r="N157" s="40">
        <f t="shared" si="33"/>
        <v>0.16964285714285715</v>
      </c>
      <c r="O157" s="43"/>
      <c r="P157" s="44"/>
      <c r="Q157" s="45"/>
      <c r="R157" s="46"/>
      <c r="S157" s="47"/>
      <c r="T157" s="34">
        <f t="shared" si="26"/>
        <v>0</v>
      </c>
      <c r="U157" s="34">
        <f t="shared" si="34"/>
        <v>0</v>
      </c>
      <c r="V157" s="34">
        <f t="shared" si="35"/>
        <v>0</v>
      </c>
      <c r="W157" s="34">
        <f t="shared" si="36"/>
        <v>0</v>
      </c>
      <c r="X157" s="48" t="s">
        <v>426</v>
      </c>
      <c r="Y157" s="48" t="s">
        <v>38</v>
      </c>
      <c r="Z157" s="49" t="s">
        <v>47</v>
      </c>
      <c r="AA157" s="80" t="s">
        <v>427</v>
      </c>
      <c r="AB157" s="80" t="s">
        <v>378</v>
      </c>
      <c r="AC157" s="80"/>
      <c r="AD157" s="50">
        <f t="shared" si="37"/>
        <v>0.16964285714285715</v>
      </c>
      <c r="AE157" s="51">
        <f t="shared" si="27"/>
        <v>0</v>
      </c>
      <c r="AF157" s="51">
        <f t="shared" si="28"/>
        <v>0</v>
      </c>
      <c r="AG157" s="52">
        <v>4890</v>
      </c>
      <c r="AH157" s="52">
        <v>4892</v>
      </c>
      <c r="AI157" s="52">
        <v>1</v>
      </c>
      <c r="AJ157" s="53" t="s">
        <v>428</v>
      </c>
    </row>
    <row r="158" spans="1:36" ht="15.75" hidden="1" x14ac:dyDescent="0.25">
      <c r="A158" s="33" t="s">
        <v>425</v>
      </c>
      <c r="B158" s="34">
        <v>4891</v>
      </c>
      <c r="C158" s="34"/>
      <c r="D158" s="35">
        <v>28</v>
      </c>
      <c r="E158" s="36" t="str">
        <f t="shared" si="29"/>
        <v/>
      </c>
      <c r="F158" s="37" t="str">
        <f t="shared" si="30"/>
        <v/>
      </c>
      <c r="G158" s="38">
        <f t="shared" si="31"/>
        <v>0</v>
      </c>
      <c r="H158" s="38">
        <f t="shared" si="31"/>
        <v>0</v>
      </c>
      <c r="I158" s="39">
        <v>20</v>
      </c>
      <c r="J158" s="40">
        <f t="shared" si="38"/>
        <v>0.7142857142857143</v>
      </c>
      <c r="K158" s="41">
        <v>-9</v>
      </c>
      <c r="L158" s="42">
        <v>0.95</v>
      </c>
      <c r="M158" s="39">
        <f t="shared" si="32"/>
        <v>20</v>
      </c>
      <c r="N158" s="40">
        <f t="shared" si="33"/>
        <v>0.7142857142857143</v>
      </c>
      <c r="O158" s="43"/>
      <c r="P158" s="44"/>
      <c r="Q158" s="45"/>
      <c r="R158" s="46"/>
      <c r="S158" s="47"/>
      <c r="T158" s="34">
        <f t="shared" si="26"/>
        <v>0</v>
      </c>
      <c r="U158" s="34">
        <f t="shared" si="34"/>
        <v>0</v>
      </c>
      <c r="V158" s="34">
        <f t="shared" si="35"/>
        <v>0</v>
      </c>
      <c r="W158" s="34">
        <f t="shared" si="36"/>
        <v>0</v>
      </c>
      <c r="X158" s="48" t="s">
        <v>426</v>
      </c>
      <c r="Y158" s="48" t="s">
        <v>38</v>
      </c>
      <c r="Z158" s="49" t="s">
        <v>47</v>
      </c>
      <c r="AA158" s="80" t="s">
        <v>427</v>
      </c>
      <c r="AB158" s="80" t="s">
        <v>378</v>
      </c>
      <c r="AC158" s="80"/>
      <c r="AD158" s="50">
        <f t="shared" si="37"/>
        <v>0.7142857142857143</v>
      </c>
      <c r="AE158" s="51">
        <f t="shared" si="27"/>
        <v>0</v>
      </c>
      <c r="AF158" s="51">
        <f t="shared" si="28"/>
        <v>0</v>
      </c>
      <c r="AG158" s="52">
        <v>4891</v>
      </c>
      <c r="AH158" s="52">
        <v>4892</v>
      </c>
      <c r="AI158" s="52">
        <v>1</v>
      </c>
      <c r="AJ158" s="53" t="s">
        <v>429</v>
      </c>
    </row>
    <row r="159" spans="1:36" ht="15.75" hidden="1" x14ac:dyDescent="0.25">
      <c r="A159" s="33" t="s">
        <v>430</v>
      </c>
      <c r="B159" s="34">
        <v>46543</v>
      </c>
      <c r="C159" s="34"/>
      <c r="D159" s="35">
        <v>50</v>
      </c>
      <c r="E159" s="36" t="str">
        <f t="shared" si="29"/>
        <v/>
      </c>
      <c r="F159" s="37" t="str">
        <f t="shared" si="30"/>
        <v/>
      </c>
      <c r="G159" s="38">
        <f t="shared" si="31"/>
        <v>0</v>
      </c>
      <c r="H159" s="38">
        <f t="shared" si="31"/>
        <v>0</v>
      </c>
      <c r="I159" s="39">
        <v>0</v>
      </c>
      <c r="J159" s="40">
        <f t="shared" si="38"/>
        <v>0</v>
      </c>
      <c r="K159" s="41">
        <v>-19.5</v>
      </c>
      <c r="L159" s="42">
        <v>0.95</v>
      </c>
      <c r="M159" s="39">
        <f t="shared" si="32"/>
        <v>0</v>
      </c>
      <c r="N159" s="40">
        <f t="shared" si="33"/>
        <v>0</v>
      </c>
      <c r="O159" s="43"/>
      <c r="P159" s="44"/>
      <c r="Q159" s="45"/>
      <c r="R159" s="46"/>
      <c r="S159" s="47"/>
      <c r="T159" s="34">
        <f t="shared" si="26"/>
        <v>0</v>
      </c>
      <c r="U159" s="34">
        <f t="shared" si="34"/>
        <v>0</v>
      </c>
      <c r="V159" s="34">
        <f t="shared" si="35"/>
        <v>0</v>
      </c>
      <c r="W159" s="34">
        <f t="shared" si="36"/>
        <v>0</v>
      </c>
      <c r="X159" s="48" t="s">
        <v>426</v>
      </c>
      <c r="Y159" s="48" t="s">
        <v>38</v>
      </c>
      <c r="Z159" s="49" t="s">
        <v>47</v>
      </c>
      <c r="AA159" s="80" t="s">
        <v>431</v>
      </c>
      <c r="AB159" s="80" t="s">
        <v>378</v>
      </c>
      <c r="AC159" s="80"/>
      <c r="AD159" s="50">
        <f t="shared" si="37"/>
        <v>0</v>
      </c>
      <c r="AE159" s="51">
        <f t="shared" si="27"/>
        <v>0</v>
      </c>
      <c r="AF159" s="51">
        <f t="shared" si="28"/>
        <v>0</v>
      </c>
      <c r="AG159" s="52">
        <v>46543</v>
      </c>
      <c r="AH159" s="52">
        <v>46542</v>
      </c>
      <c r="AI159" s="52">
        <v>1</v>
      </c>
      <c r="AJ159" s="53" t="s">
        <v>432</v>
      </c>
    </row>
    <row r="160" spans="1:36" ht="15.75" hidden="1" x14ac:dyDescent="0.25">
      <c r="A160" s="106" t="s">
        <v>433</v>
      </c>
      <c r="B160" s="107">
        <v>4478</v>
      </c>
      <c r="C160" s="107"/>
      <c r="D160" s="85">
        <v>402</v>
      </c>
      <c r="E160" s="36" t="str">
        <f t="shared" si="29"/>
        <v/>
      </c>
      <c r="F160" s="37" t="str">
        <f t="shared" si="30"/>
        <v/>
      </c>
      <c r="G160" s="38">
        <f t="shared" si="31"/>
        <v>0</v>
      </c>
      <c r="H160" s="38">
        <f t="shared" si="31"/>
        <v>0</v>
      </c>
      <c r="I160" s="39">
        <v>350</v>
      </c>
      <c r="J160" s="40">
        <f t="shared" si="38"/>
        <v>0.87064676616915426</v>
      </c>
      <c r="K160" s="41">
        <v>121</v>
      </c>
      <c r="L160" s="42">
        <v>1.01</v>
      </c>
      <c r="M160" s="39">
        <f t="shared" si="32"/>
        <v>350</v>
      </c>
      <c r="N160" s="40">
        <f t="shared" si="33"/>
        <v>0.87064676616915426</v>
      </c>
      <c r="O160" s="43"/>
      <c r="P160" s="44"/>
      <c r="Q160" s="45"/>
      <c r="R160" s="46"/>
      <c r="S160" s="47"/>
      <c r="T160" s="34">
        <f t="shared" si="26"/>
        <v>0</v>
      </c>
      <c r="U160" s="34">
        <f t="shared" si="34"/>
        <v>0</v>
      </c>
      <c r="V160" s="34">
        <f t="shared" si="35"/>
        <v>0</v>
      </c>
      <c r="W160" s="34">
        <f t="shared" si="36"/>
        <v>0</v>
      </c>
      <c r="X160" s="48" t="s">
        <v>426</v>
      </c>
      <c r="Y160" s="48" t="s">
        <v>38</v>
      </c>
      <c r="Z160" s="49" t="s">
        <v>47</v>
      </c>
      <c r="AA160" s="80" t="s">
        <v>434</v>
      </c>
      <c r="AB160" s="80" t="s">
        <v>378</v>
      </c>
      <c r="AC160" s="80"/>
      <c r="AD160" s="50">
        <f t="shared" si="37"/>
        <v>0.87064676616915426</v>
      </c>
      <c r="AE160" s="51">
        <f t="shared" si="27"/>
        <v>0</v>
      </c>
      <c r="AF160" s="51">
        <f t="shared" si="28"/>
        <v>0</v>
      </c>
      <c r="AG160" s="52">
        <v>4479</v>
      </c>
      <c r="AH160" s="52">
        <v>4478</v>
      </c>
      <c r="AI160" s="52">
        <v>1</v>
      </c>
      <c r="AJ160" s="53" t="s">
        <v>435</v>
      </c>
    </row>
    <row r="161" spans="1:36" ht="15.75" hidden="1" x14ac:dyDescent="0.25">
      <c r="A161" s="106" t="s">
        <v>436</v>
      </c>
      <c r="B161" s="107">
        <v>4462</v>
      </c>
      <c r="C161" s="107"/>
      <c r="D161" s="85">
        <v>300</v>
      </c>
      <c r="E161" s="36" t="str">
        <f t="shared" si="29"/>
        <v/>
      </c>
      <c r="F161" s="37" t="str">
        <f t="shared" si="30"/>
        <v/>
      </c>
      <c r="G161" s="38">
        <f t="shared" si="31"/>
        <v>0</v>
      </c>
      <c r="H161" s="38">
        <f t="shared" si="31"/>
        <v>0</v>
      </c>
      <c r="I161" s="39">
        <v>261</v>
      </c>
      <c r="J161" s="40">
        <f t="shared" si="38"/>
        <v>0.87</v>
      </c>
      <c r="K161" s="41">
        <v>98.08</v>
      </c>
      <c r="L161" s="42">
        <v>1.03</v>
      </c>
      <c r="M161" s="39">
        <f t="shared" si="32"/>
        <v>261</v>
      </c>
      <c r="N161" s="40">
        <f t="shared" si="33"/>
        <v>0.87</v>
      </c>
      <c r="O161" s="43"/>
      <c r="P161" s="44"/>
      <c r="Q161" s="45"/>
      <c r="R161" s="46"/>
      <c r="S161" s="47"/>
      <c r="T161" s="34">
        <f t="shared" si="26"/>
        <v>0</v>
      </c>
      <c r="U161" s="34">
        <f t="shared" si="34"/>
        <v>0</v>
      </c>
      <c r="V161" s="34">
        <f t="shared" si="35"/>
        <v>0</v>
      </c>
      <c r="W161" s="34">
        <f t="shared" si="36"/>
        <v>0</v>
      </c>
      <c r="X161" s="48" t="s">
        <v>426</v>
      </c>
      <c r="Y161" s="48" t="s">
        <v>38</v>
      </c>
      <c r="Z161" s="49" t="s">
        <v>47</v>
      </c>
      <c r="AA161" s="80" t="s">
        <v>434</v>
      </c>
      <c r="AB161" s="80" t="s">
        <v>378</v>
      </c>
      <c r="AC161" s="80"/>
      <c r="AD161" s="50">
        <f t="shared" si="37"/>
        <v>0.87</v>
      </c>
      <c r="AE161" s="51">
        <f t="shared" si="27"/>
        <v>0</v>
      </c>
      <c r="AF161" s="51">
        <f t="shared" si="28"/>
        <v>0</v>
      </c>
      <c r="AG161" s="52">
        <v>4465</v>
      </c>
      <c r="AH161" s="52">
        <v>4462</v>
      </c>
      <c r="AI161" s="52">
        <v>1</v>
      </c>
      <c r="AJ161" s="53" t="s">
        <v>437</v>
      </c>
    </row>
    <row r="162" spans="1:36" ht="15.75" hidden="1" x14ac:dyDescent="0.25">
      <c r="A162" s="106" t="s">
        <v>438</v>
      </c>
      <c r="B162" s="107">
        <v>4492</v>
      </c>
      <c r="C162" s="107"/>
      <c r="D162" s="85">
        <v>1820</v>
      </c>
      <c r="E162" s="36" t="str">
        <f t="shared" si="29"/>
        <v/>
      </c>
      <c r="F162" s="37" t="str">
        <f t="shared" si="30"/>
        <v/>
      </c>
      <c r="G162" s="38">
        <f t="shared" si="31"/>
        <v>0</v>
      </c>
      <c r="H162" s="38">
        <f t="shared" si="31"/>
        <v>0</v>
      </c>
      <c r="I162" s="39">
        <v>1583</v>
      </c>
      <c r="J162" s="40">
        <f t="shared" si="38"/>
        <v>0.8697802197802198</v>
      </c>
      <c r="K162" s="41">
        <v>297.7</v>
      </c>
      <c r="L162" s="42">
        <v>1.01</v>
      </c>
      <c r="M162" s="39">
        <f t="shared" si="32"/>
        <v>1583</v>
      </c>
      <c r="N162" s="40">
        <f t="shared" si="33"/>
        <v>0.8697802197802198</v>
      </c>
      <c r="O162" s="43"/>
      <c r="P162" s="44"/>
      <c r="Q162" s="45"/>
      <c r="R162" s="46"/>
      <c r="S162" s="47"/>
      <c r="T162" s="34">
        <f t="shared" si="26"/>
        <v>0</v>
      </c>
      <c r="U162" s="34">
        <f t="shared" si="34"/>
        <v>0</v>
      </c>
      <c r="V162" s="34">
        <f t="shared" si="35"/>
        <v>0</v>
      </c>
      <c r="W162" s="34">
        <f t="shared" si="36"/>
        <v>0</v>
      </c>
      <c r="X162" s="48" t="s">
        <v>426</v>
      </c>
      <c r="Y162" s="48" t="s">
        <v>38</v>
      </c>
      <c r="Z162" s="49" t="s">
        <v>47</v>
      </c>
      <c r="AA162" s="80" t="s">
        <v>434</v>
      </c>
      <c r="AB162" s="80" t="s">
        <v>378</v>
      </c>
      <c r="AC162" s="80"/>
      <c r="AD162" s="50">
        <f t="shared" si="37"/>
        <v>0.8697802197802198</v>
      </c>
      <c r="AE162" s="51">
        <f t="shared" si="27"/>
        <v>0</v>
      </c>
      <c r="AF162" s="51">
        <f t="shared" si="28"/>
        <v>0</v>
      </c>
      <c r="AG162" s="52">
        <v>4493</v>
      </c>
      <c r="AH162" s="52">
        <v>4492</v>
      </c>
      <c r="AI162" s="52">
        <v>1</v>
      </c>
      <c r="AJ162" s="53" t="s">
        <v>439</v>
      </c>
    </row>
    <row r="163" spans="1:36" ht="15.75" hidden="1" x14ac:dyDescent="0.25">
      <c r="A163" s="106" t="s">
        <v>440</v>
      </c>
      <c r="B163" s="107">
        <v>4489</v>
      </c>
      <c r="C163" s="107"/>
      <c r="D163" s="85">
        <v>700</v>
      </c>
      <c r="E163" s="36" t="str">
        <f t="shared" si="29"/>
        <v/>
      </c>
      <c r="F163" s="37" t="str">
        <f t="shared" si="30"/>
        <v/>
      </c>
      <c r="G163" s="38">
        <f t="shared" si="31"/>
        <v>0</v>
      </c>
      <c r="H163" s="38">
        <f t="shared" si="31"/>
        <v>0</v>
      </c>
      <c r="I163" s="39">
        <v>609</v>
      </c>
      <c r="J163" s="40">
        <f t="shared" si="38"/>
        <v>0.87</v>
      </c>
      <c r="K163" s="41">
        <v>106.7</v>
      </c>
      <c r="L163" s="42">
        <v>1.01</v>
      </c>
      <c r="M163" s="39">
        <f t="shared" si="32"/>
        <v>609</v>
      </c>
      <c r="N163" s="40">
        <f t="shared" si="33"/>
        <v>0.87</v>
      </c>
      <c r="O163" s="43"/>
      <c r="P163" s="44"/>
      <c r="Q163" s="45"/>
      <c r="R163" s="46"/>
      <c r="S163" s="47"/>
      <c r="T163" s="34">
        <f t="shared" si="26"/>
        <v>0</v>
      </c>
      <c r="U163" s="34">
        <f t="shared" si="34"/>
        <v>0</v>
      </c>
      <c r="V163" s="34">
        <f t="shared" si="35"/>
        <v>0</v>
      </c>
      <c r="W163" s="34">
        <f t="shared" si="36"/>
        <v>0</v>
      </c>
      <c r="X163" s="48" t="s">
        <v>368</v>
      </c>
      <c r="Y163" s="48" t="s">
        <v>38</v>
      </c>
      <c r="Z163" s="49" t="s">
        <v>47</v>
      </c>
      <c r="AA163" s="80" t="s">
        <v>434</v>
      </c>
      <c r="AB163" s="80" t="s">
        <v>378</v>
      </c>
      <c r="AC163" s="80"/>
      <c r="AD163" s="50">
        <f t="shared" si="37"/>
        <v>0.87</v>
      </c>
      <c r="AE163" s="51">
        <f t="shared" si="27"/>
        <v>0</v>
      </c>
      <c r="AF163" s="51">
        <f t="shared" si="28"/>
        <v>0</v>
      </c>
      <c r="AG163" s="52">
        <v>4491</v>
      </c>
      <c r="AH163" s="52">
        <v>4489</v>
      </c>
      <c r="AI163" s="52">
        <v>1</v>
      </c>
      <c r="AJ163" s="53" t="s">
        <v>441</v>
      </c>
    </row>
    <row r="164" spans="1:36" ht="15.75" hidden="1" x14ac:dyDescent="0.25">
      <c r="A164" s="33" t="s">
        <v>442</v>
      </c>
      <c r="B164" s="34">
        <v>4804</v>
      </c>
      <c r="C164" s="34"/>
      <c r="D164" s="35">
        <v>124</v>
      </c>
      <c r="E164" s="36" t="str">
        <f t="shared" si="29"/>
        <v/>
      </c>
      <c r="F164" s="37" t="str">
        <f t="shared" si="30"/>
        <v/>
      </c>
      <c r="G164" s="38">
        <f t="shared" si="31"/>
        <v>0</v>
      </c>
      <c r="H164" s="38">
        <f t="shared" si="31"/>
        <v>0</v>
      </c>
      <c r="I164" s="39">
        <v>71</v>
      </c>
      <c r="J164" s="40">
        <f t="shared" si="38"/>
        <v>0.57258064516129037</v>
      </c>
      <c r="K164" s="41">
        <v>-35.200000000000003</v>
      </c>
      <c r="L164" s="42">
        <v>0.96599999999999997</v>
      </c>
      <c r="M164" s="39">
        <f t="shared" si="32"/>
        <v>71</v>
      </c>
      <c r="N164" s="40">
        <f t="shared" si="33"/>
        <v>0.57258064516129037</v>
      </c>
      <c r="O164" s="43"/>
      <c r="P164" s="44"/>
      <c r="Q164" s="45"/>
      <c r="R164" s="46"/>
      <c r="S164" s="47"/>
      <c r="T164" s="34">
        <f t="shared" si="26"/>
        <v>0</v>
      </c>
      <c r="U164" s="34">
        <f t="shared" si="34"/>
        <v>0</v>
      </c>
      <c r="V164" s="34">
        <f t="shared" si="35"/>
        <v>0</v>
      </c>
      <c r="W164" s="34">
        <f t="shared" si="36"/>
        <v>0</v>
      </c>
      <c r="X164" s="48" t="s">
        <v>426</v>
      </c>
      <c r="Y164" s="48" t="s">
        <v>38</v>
      </c>
      <c r="Z164" s="49" t="s">
        <v>47</v>
      </c>
      <c r="AA164" s="80" t="s">
        <v>443</v>
      </c>
      <c r="AB164" s="80" t="s">
        <v>378</v>
      </c>
      <c r="AC164" s="80"/>
      <c r="AD164" s="50">
        <f t="shared" si="37"/>
        <v>0.57258064516129037</v>
      </c>
      <c r="AE164" s="51">
        <f t="shared" si="27"/>
        <v>0</v>
      </c>
      <c r="AF164" s="51">
        <f t="shared" si="28"/>
        <v>0</v>
      </c>
      <c r="AG164" s="52">
        <v>4805</v>
      </c>
      <c r="AH164" s="52">
        <v>4804</v>
      </c>
      <c r="AI164" s="52">
        <v>1</v>
      </c>
      <c r="AJ164" s="53" t="s">
        <v>444</v>
      </c>
    </row>
    <row r="165" spans="1:36" ht="15.75" hidden="1" x14ac:dyDescent="0.25">
      <c r="A165" s="33" t="s">
        <v>445</v>
      </c>
      <c r="B165" s="34">
        <v>4809</v>
      </c>
      <c r="C165" s="34"/>
      <c r="D165" s="35">
        <v>121</v>
      </c>
      <c r="E165" s="36" t="str">
        <f t="shared" si="29"/>
        <v/>
      </c>
      <c r="F165" s="37" t="str">
        <f t="shared" si="30"/>
        <v/>
      </c>
      <c r="G165" s="38">
        <f t="shared" si="31"/>
        <v>0</v>
      </c>
      <c r="H165" s="38">
        <f t="shared" si="31"/>
        <v>0</v>
      </c>
      <c r="I165" s="39">
        <v>77</v>
      </c>
      <c r="J165" s="40">
        <f t="shared" si="38"/>
        <v>0.63636363636363635</v>
      </c>
      <c r="K165" s="41">
        <v>-35.700000000000003</v>
      </c>
      <c r="L165" s="42">
        <v>0.96599999999999997</v>
      </c>
      <c r="M165" s="39">
        <f t="shared" si="32"/>
        <v>77</v>
      </c>
      <c r="N165" s="40">
        <f t="shared" si="33"/>
        <v>0.63636363636363635</v>
      </c>
      <c r="O165" s="43"/>
      <c r="P165" s="44"/>
      <c r="Q165" s="45"/>
      <c r="R165" s="46"/>
      <c r="S165" s="47"/>
      <c r="T165" s="34">
        <f t="shared" si="26"/>
        <v>0</v>
      </c>
      <c r="U165" s="34">
        <f t="shared" si="34"/>
        <v>0</v>
      </c>
      <c r="V165" s="34">
        <f t="shared" si="35"/>
        <v>0</v>
      </c>
      <c r="W165" s="34">
        <f t="shared" si="36"/>
        <v>0</v>
      </c>
      <c r="X165" s="48" t="s">
        <v>426</v>
      </c>
      <c r="Y165" s="48" t="s">
        <v>38</v>
      </c>
      <c r="Z165" s="80" t="s">
        <v>47</v>
      </c>
      <c r="AA165" s="80" t="s">
        <v>446</v>
      </c>
      <c r="AB165" s="80" t="s">
        <v>447</v>
      </c>
      <c r="AC165" s="81"/>
      <c r="AD165" s="50">
        <f t="shared" si="37"/>
        <v>0.63636363636363635</v>
      </c>
      <c r="AE165" s="51">
        <f t="shared" si="27"/>
        <v>0</v>
      </c>
      <c r="AF165" s="51">
        <f t="shared" si="28"/>
        <v>0</v>
      </c>
      <c r="AG165" s="52">
        <v>4808</v>
      </c>
      <c r="AH165" s="52">
        <v>4809</v>
      </c>
      <c r="AI165" s="52">
        <v>1</v>
      </c>
      <c r="AJ165" s="53" t="s">
        <v>448</v>
      </c>
    </row>
    <row r="166" spans="1:36" ht="15.75" hidden="1" x14ac:dyDescent="0.25">
      <c r="A166" s="33" t="s">
        <v>449</v>
      </c>
      <c r="B166" s="34">
        <v>21</v>
      </c>
      <c r="C166" s="34"/>
      <c r="D166" s="35">
        <v>216</v>
      </c>
      <c r="E166" s="36" t="str">
        <f t="shared" si="29"/>
        <v/>
      </c>
      <c r="F166" s="37" t="str">
        <f t="shared" si="30"/>
        <v/>
      </c>
      <c r="G166" s="38">
        <f t="shared" si="31"/>
        <v>0</v>
      </c>
      <c r="H166" s="38">
        <f t="shared" si="31"/>
        <v>0</v>
      </c>
      <c r="I166" s="39">
        <v>48</v>
      </c>
      <c r="J166" s="40">
        <f t="shared" si="38"/>
        <v>0.22222222222222221</v>
      </c>
      <c r="K166" s="41">
        <v>2.331</v>
      </c>
      <c r="L166" s="42">
        <v>0.96399999999999997</v>
      </c>
      <c r="M166" s="39">
        <f t="shared" si="32"/>
        <v>48</v>
      </c>
      <c r="N166" s="40">
        <f t="shared" si="33"/>
        <v>0.22222222222222221</v>
      </c>
      <c r="O166" s="43"/>
      <c r="P166" s="44"/>
      <c r="Q166" s="45"/>
      <c r="R166" s="46"/>
      <c r="S166" s="47"/>
      <c r="T166" s="34">
        <f t="shared" si="26"/>
        <v>0</v>
      </c>
      <c r="U166" s="34">
        <f t="shared" si="34"/>
        <v>0</v>
      </c>
      <c r="V166" s="34">
        <f t="shared" si="35"/>
        <v>0</v>
      </c>
      <c r="W166" s="34">
        <f t="shared" si="36"/>
        <v>0</v>
      </c>
      <c r="X166" s="48" t="s">
        <v>426</v>
      </c>
      <c r="Y166" s="48" t="s">
        <v>38</v>
      </c>
      <c r="Z166" s="80" t="s">
        <v>39</v>
      </c>
      <c r="AA166" s="80" t="s">
        <v>450</v>
      </c>
      <c r="AB166" s="80" t="s">
        <v>447</v>
      </c>
      <c r="AC166" s="81"/>
      <c r="AD166" s="50">
        <f t="shared" si="37"/>
        <v>0.22222222222222221</v>
      </c>
      <c r="AE166" s="51">
        <f t="shared" si="27"/>
        <v>0</v>
      </c>
      <c r="AF166" s="51">
        <f t="shared" si="28"/>
        <v>0</v>
      </c>
      <c r="AG166" s="52">
        <v>4592</v>
      </c>
      <c r="AH166" s="52">
        <v>21</v>
      </c>
      <c r="AI166" s="52">
        <v>1</v>
      </c>
      <c r="AJ166" s="53" t="s">
        <v>451</v>
      </c>
    </row>
    <row r="167" spans="1:36" ht="15.75" hidden="1" x14ac:dyDescent="0.25">
      <c r="A167" s="33" t="s">
        <v>452</v>
      </c>
      <c r="B167" s="34">
        <v>4523</v>
      </c>
      <c r="C167" s="34"/>
      <c r="D167" s="35">
        <v>60</v>
      </c>
      <c r="E167" s="36" t="str">
        <f t="shared" si="29"/>
        <v/>
      </c>
      <c r="F167" s="37" t="str">
        <f t="shared" si="30"/>
        <v/>
      </c>
      <c r="G167" s="38">
        <f t="shared" si="31"/>
        <v>0</v>
      </c>
      <c r="H167" s="38">
        <f t="shared" si="31"/>
        <v>0</v>
      </c>
      <c r="I167" s="39">
        <v>54</v>
      </c>
      <c r="J167" s="40">
        <f t="shared" si="38"/>
        <v>0.9</v>
      </c>
      <c r="K167" s="41">
        <v>3.9820000000000002</v>
      </c>
      <c r="L167" s="42">
        <v>0.99</v>
      </c>
      <c r="M167" s="39">
        <f t="shared" si="32"/>
        <v>54</v>
      </c>
      <c r="N167" s="40">
        <f t="shared" si="33"/>
        <v>0.9</v>
      </c>
      <c r="O167" s="43"/>
      <c r="P167" s="44"/>
      <c r="Q167" s="45"/>
      <c r="R167" s="46"/>
      <c r="S167" s="47"/>
      <c r="T167" s="34">
        <f t="shared" si="26"/>
        <v>0</v>
      </c>
      <c r="U167" s="34">
        <f t="shared" si="34"/>
        <v>0</v>
      </c>
      <c r="V167" s="34">
        <f t="shared" si="35"/>
        <v>0</v>
      </c>
      <c r="W167" s="34">
        <f t="shared" si="36"/>
        <v>0</v>
      </c>
      <c r="X167" s="48" t="s">
        <v>426</v>
      </c>
      <c r="Y167" s="48" t="s">
        <v>38</v>
      </c>
      <c r="Z167" s="80" t="s">
        <v>47</v>
      </c>
      <c r="AA167" s="80" t="s">
        <v>453</v>
      </c>
      <c r="AB167" s="80" t="s">
        <v>447</v>
      </c>
      <c r="AC167" s="81"/>
      <c r="AD167" s="50">
        <f t="shared" si="37"/>
        <v>0.9</v>
      </c>
      <c r="AE167" s="51">
        <f t="shared" si="27"/>
        <v>0</v>
      </c>
      <c r="AF167" s="51">
        <f t="shared" si="28"/>
        <v>0</v>
      </c>
      <c r="AG167" s="52">
        <v>4521</v>
      </c>
      <c r="AH167" s="52">
        <v>4523</v>
      </c>
      <c r="AI167" s="52">
        <v>1</v>
      </c>
      <c r="AJ167" s="53" t="s">
        <v>454</v>
      </c>
    </row>
    <row r="168" spans="1:36" ht="15.75" hidden="1" x14ac:dyDescent="0.25">
      <c r="A168" s="33" t="s">
        <v>455</v>
      </c>
      <c r="B168" s="34">
        <v>4525</v>
      </c>
      <c r="C168" s="34"/>
      <c r="D168" s="35">
        <v>95</v>
      </c>
      <c r="E168" s="36" t="str">
        <f t="shared" si="29"/>
        <v/>
      </c>
      <c r="F168" s="37" t="str">
        <f t="shared" si="30"/>
        <v/>
      </c>
      <c r="G168" s="38">
        <f t="shared" si="31"/>
        <v>0</v>
      </c>
      <c r="H168" s="38">
        <f t="shared" si="31"/>
        <v>0</v>
      </c>
      <c r="I168" s="39">
        <v>86</v>
      </c>
      <c r="J168" s="40">
        <f t="shared" si="38"/>
        <v>0.90526315789473688</v>
      </c>
      <c r="K168" s="41">
        <v>6.4059999999999997</v>
      </c>
      <c r="L168" s="42">
        <v>0.99</v>
      </c>
      <c r="M168" s="39">
        <f t="shared" si="32"/>
        <v>86</v>
      </c>
      <c r="N168" s="40">
        <f t="shared" si="33"/>
        <v>0.90526315789473688</v>
      </c>
      <c r="O168" s="43"/>
      <c r="P168" s="44"/>
      <c r="Q168" s="45"/>
      <c r="R168" s="46"/>
      <c r="S168" s="47"/>
      <c r="T168" s="34">
        <f t="shared" si="26"/>
        <v>0</v>
      </c>
      <c r="U168" s="34">
        <f t="shared" si="34"/>
        <v>0</v>
      </c>
      <c r="V168" s="34">
        <f t="shared" si="35"/>
        <v>0</v>
      </c>
      <c r="W168" s="34">
        <f t="shared" si="36"/>
        <v>0</v>
      </c>
      <c r="X168" s="48" t="s">
        <v>426</v>
      </c>
      <c r="Y168" s="48" t="s">
        <v>38</v>
      </c>
      <c r="Z168" s="80" t="s">
        <v>47</v>
      </c>
      <c r="AA168" s="80" t="s">
        <v>453</v>
      </c>
      <c r="AB168" s="80" t="s">
        <v>447</v>
      </c>
      <c r="AC168" s="81"/>
      <c r="AD168" s="50">
        <f t="shared" si="37"/>
        <v>0.90526315789473688</v>
      </c>
      <c r="AE168" s="51">
        <f t="shared" si="27"/>
        <v>0</v>
      </c>
      <c r="AF168" s="51">
        <f t="shared" si="28"/>
        <v>0</v>
      </c>
      <c r="AG168" s="52">
        <v>4521</v>
      </c>
      <c r="AH168" s="52">
        <v>4525</v>
      </c>
      <c r="AI168" s="52">
        <v>1</v>
      </c>
      <c r="AJ168" s="53" t="s">
        <v>456</v>
      </c>
    </row>
    <row r="169" spans="1:36" ht="15.75" hidden="1" x14ac:dyDescent="0.25">
      <c r="A169" s="33" t="s">
        <v>457</v>
      </c>
      <c r="B169" s="34">
        <v>4520</v>
      </c>
      <c r="C169" s="34"/>
      <c r="D169" s="35">
        <v>176</v>
      </c>
      <c r="E169" s="36" t="str">
        <f t="shared" si="29"/>
        <v/>
      </c>
      <c r="F169" s="37" t="str">
        <f t="shared" si="30"/>
        <v/>
      </c>
      <c r="G169" s="38">
        <f t="shared" si="31"/>
        <v>0</v>
      </c>
      <c r="H169" s="38">
        <f t="shared" si="31"/>
        <v>0</v>
      </c>
      <c r="I169" s="39">
        <v>158</v>
      </c>
      <c r="J169" s="40">
        <f t="shared" si="38"/>
        <v>0.89772727272727271</v>
      </c>
      <c r="K169" s="41">
        <v>-5.97</v>
      </c>
      <c r="L169" s="42">
        <v>0.999</v>
      </c>
      <c r="M169" s="39">
        <f t="shared" si="32"/>
        <v>158</v>
      </c>
      <c r="N169" s="40">
        <f t="shared" si="33"/>
        <v>0.89772727272727271</v>
      </c>
      <c r="O169" s="43"/>
      <c r="P169" s="44"/>
      <c r="Q169" s="45"/>
      <c r="R169" s="46"/>
      <c r="S169" s="47"/>
      <c r="T169" s="34">
        <f t="shared" si="26"/>
        <v>0</v>
      </c>
      <c r="U169" s="34">
        <f t="shared" si="34"/>
        <v>0</v>
      </c>
      <c r="V169" s="34">
        <f t="shared" si="35"/>
        <v>0</v>
      </c>
      <c r="W169" s="34">
        <f t="shared" si="36"/>
        <v>0</v>
      </c>
      <c r="X169" s="48" t="s">
        <v>426</v>
      </c>
      <c r="Y169" s="48" t="s">
        <v>38</v>
      </c>
      <c r="Z169" s="80" t="s">
        <v>47</v>
      </c>
      <c r="AA169" s="80" t="s">
        <v>458</v>
      </c>
      <c r="AB169" s="80" t="s">
        <v>447</v>
      </c>
      <c r="AC169" s="81"/>
      <c r="AD169" s="50">
        <f t="shared" si="37"/>
        <v>0.89772727272727271</v>
      </c>
      <c r="AE169" s="51">
        <f t="shared" si="27"/>
        <v>0</v>
      </c>
      <c r="AF169" s="51">
        <f t="shared" si="28"/>
        <v>0</v>
      </c>
      <c r="AG169" s="52">
        <v>4594</v>
      </c>
      <c r="AH169" s="52">
        <v>4520</v>
      </c>
      <c r="AI169" s="52">
        <v>1</v>
      </c>
      <c r="AJ169" s="53" t="s">
        <v>459</v>
      </c>
    </row>
    <row r="170" spans="1:36" ht="15.75" hidden="1" x14ac:dyDescent="0.25">
      <c r="A170" s="33" t="s">
        <v>460</v>
      </c>
      <c r="B170" s="34">
        <v>800</v>
      </c>
      <c r="C170" s="34"/>
      <c r="D170" s="35">
        <v>1676</v>
      </c>
      <c r="E170" s="36" t="str">
        <f t="shared" si="29"/>
        <v/>
      </c>
      <c r="F170" s="37" t="str">
        <f t="shared" si="30"/>
        <v/>
      </c>
      <c r="G170" s="38">
        <f t="shared" si="31"/>
        <v>0</v>
      </c>
      <c r="H170" s="38">
        <f t="shared" si="31"/>
        <v>0</v>
      </c>
      <c r="I170" s="39">
        <v>962</v>
      </c>
      <c r="J170" s="40">
        <f t="shared" si="38"/>
        <v>0.57398568019093077</v>
      </c>
      <c r="K170" s="41">
        <v>-246</v>
      </c>
      <c r="L170" s="42">
        <v>0.98899999999999999</v>
      </c>
      <c r="M170" s="39">
        <f t="shared" si="32"/>
        <v>962</v>
      </c>
      <c r="N170" s="40">
        <f t="shared" si="33"/>
        <v>0.57398568019093077</v>
      </c>
      <c r="O170" s="43"/>
      <c r="P170" s="44"/>
      <c r="Q170" s="45"/>
      <c r="R170" s="46"/>
      <c r="S170" s="47"/>
      <c r="T170" s="34">
        <f t="shared" si="26"/>
        <v>0</v>
      </c>
      <c r="U170" s="34">
        <f t="shared" si="34"/>
        <v>0</v>
      </c>
      <c r="V170" s="34">
        <f t="shared" si="35"/>
        <v>0</v>
      </c>
      <c r="W170" s="34">
        <f t="shared" si="36"/>
        <v>0</v>
      </c>
      <c r="X170" s="48" t="s">
        <v>155</v>
      </c>
      <c r="Y170" s="48" t="s">
        <v>141</v>
      </c>
      <c r="Z170" s="49" t="s">
        <v>39</v>
      </c>
      <c r="AA170" s="49" t="s">
        <v>461</v>
      </c>
      <c r="AB170" s="33" t="s">
        <v>462</v>
      </c>
      <c r="AC170" s="33" t="s">
        <v>463</v>
      </c>
      <c r="AD170" s="50">
        <f t="shared" si="37"/>
        <v>0.57398568019093077</v>
      </c>
      <c r="AE170" s="51">
        <f t="shared" si="27"/>
        <v>0</v>
      </c>
      <c r="AF170" s="51">
        <f t="shared" si="28"/>
        <v>0</v>
      </c>
      <c r="AG170" s="52">
        <v>824</v>
      </c>
      <c r="AH170" s="52">
        <v>800</v>
      </c>
      <c r="AI170" s="52">
        <v>1</v>
      </c>
      <c r="AJ170" s="53" t="s">
        <v>464</v>
      </c>
    </row>
    <row r="171" spans="1:36" ht="15.75" hidden="1" x14ac:dyDescent="0.25">
      <c r="A171" s="33" t="s">
        <v>465</v>
      </c>
      <c r="B171" s="34">
        <v>810</v>
      </c>
      <c r="C171" s="34"/>
      <c r="D171" s="35">
        <v>1260</v>
      </c>
      <c r="E171" s="36" t="str">
        <f t="shared" si="29"/>
        <v/>
      </c>
      <c r="F171" s="37" t="str">
        <f t="shared" si="30"/>
        <v/>
      </c>
      <c r="G171" s="38">
        <f t="shared" si="31"/>
        <v>0</v>
      </c>
      <c r="H171" s="38">
        <f t="shared" si="31"/>
        <v>0</v>
      </c>
      <c r="I171" s="39">
        <v>662</v>
      </c>
      <c r="J171" s="40">
        <f t="shared" si="38"/>
        <v>0.52539682539682542</v>
      </c>
      <c r="K171" s="41">
        <v>-303</v>
      </c>
      <c r="L171" s="42">
        <v>0.99099999999999999</v>
      </c>
      <c r="M171" s="39">
        <f t="shared" si="32"/>
        <v>662</v>
      </c>
      <c r="N171" s="40">
        <f t="shared" si="33"/>
        <v>0.52539682539682542</v>
      </c>
      <c r="O171" s="43"/>
      <c r="P171" s="44"/>
      <c r="Q171" s="45"/>
      <c r="R171" s="46"/>
      <c r="S171" s="47"/>
      <c r="T171" s="34">
        <f t="shared" si="26"/>
        <v>0</v>
      </c>
      <c r="U171" s="34">
        <f t="shared" si="34"/>
        <v>0</v>
      </c>
      <c r="V171" s="34">
        <f t="shared" si="35"/>
        <v>0</v>
      </c>
      <c r="W171" s="34">
        <f t="shared" si="36"/>
        <v>0</v>
      </c>
      <c r="X171" s="48" t="s">
        <v>155</v>
      </c>
      <c r="Y171" s="48" t="s">
        <v>141</v>
      </c>
      <c r="Z171" s="49" t="s">
        <v>39</v>
      </c>
      <c r="AA171" s="49" t="s">
        <v>461</v>
      </c>
      <c r="AB171" s="33" t="s">
        <v>462</v>
      </c>
      <c r="AC171" s="33" t="s">
        <v>463</v>
      </c>
      <c r="AD171" s="50">
        <f t="shared" si="37"/>
        <v>0.52539682539682542</v>
      </c>
      <c r="AE171" s="51">
        <f t="shared" si="27"/>
        <v>0</v>
      </c>
      <c r="AF171" s="51">
        <f t="shared" si="28"/>
        <v>0</v>
      </c>
      <c r="AG171" s="52">
        <v>856</v>
      </c>
      <c r="AH171" s="52">
        <v>810</v>
      </c>
      <c r="AI171" s="52">
        <v>1</v>
      </c>
      <c r="AJ171" s="53" t="s">
        <v>466</v>
      </c>
    </row>
    <row r="172" spans="1:36" ht="15.75" hidden="1" x14ac:dyDescent="0.25">
      <c r="A172" s="33" t="s">
        <v>467</v>
      </c>
      <c r="B172" s="34">
        <v>925</v>
      </c>
      <c r="C172" s="34"/>
      <c r="D172" s="35">
        <v>1420</v>
      </c>
      <c r="E172" s="36" t="str">
        <f t="shared" si="29"/>
        <v/>
      </c>
      <c r="F172" s="37" t="str">
        <f t="shared" si="30"/>
        <v/>
      </c>
      <c r="G172" s="38">
        <f t="shared" si="31"/>
        <v>0</v>
      </c>
      <c r="H172" s="38">
        <f t="shared" si="31"/>
        <v>0</v>
      </c>
      <c r="I172" s="39">
        <v>1081</v>
      </c>
      <c r="J172" s="40">
        <f t="shared" si="38"/>
        <v>0.7612676056338028</v>
      </c>
      <c r="K172" s="41">
        <v>-291</v>
      </c>
      <c r="L172" s="42">
        <v>0.96399999999999997</v>
      </c>
      <c r="M172" s="39">
        <f t="shared" si="32"/>
        <v>1081</v>
      </c>
      <c r="N172" s="40">
        <f t="shared" si="33"/>
        <v>0.7612676056338028</v>
      </c>
      <c r="O172" s="43"/>
      <c r="P172" s="44"/>
      <c r="Q172" s="45"/>
      <c r="R172" s="46"/>
      <c r="S172" s="47"/>
      <c r="T172" s="34">
        <f t="shared" si="26"/>
        <v>0</v>
      </c>
      <c r="U172" s="34">
        <f t="shared" si="34"/>
        <v>0</v>
      </c>
      <c r="V172" s="34">
        <f t="shared" si="35"/>
        <v>0</v>
      </c>
      <c r="W172" s="34">
        <f t="shared" si="36"/>
        <v>0</v>
      </c>
      <c r="X172" s="48" t="s">
        <v>155</v>
      </c>
      <c r="Y172" s="48" t="s">
        <v>141</v>
      </c>
      <c r="Z172" s="49" t="s">
        <v>39</v>
      </c>
      <c r="AA172" s="49" t="s">
        <v>461</v>
      </c>
      <c r="AB172" s="33" t="s">
        <v>462</v>
      </c>
      <c r="AC172" s="33" t="s">
        <v>463</v>
      </c>
      <c r="AD172" s="50">
        <f t="shared" si="37"/>
        <v>0.7612676056338028</v>
      </c>
      <c r="AE172" s="51">
        <f t="shared" si="27"/>
        <v>0</v>
      </c>
      <c r="AF172" s="51">
        <f t="shared" si="28"/>
        <v>0</v>
      </c>
      <c r="AG172" s="52">
        <v>1060</v>
      </c>
      <c r="AH172" s="52">
        <v>925</v>
      </c>
      <c r="AI172" s="52">
        <v>1</v>
      </c>
      <c r="AJ172" s="53" t="s">
        <v>468</v>
      </c>
    </row>
    <row r="173" spans="1:36" ht="15.75" hidden="1" x14ac:dyDescent="0.25">
      <c r="A173" s="33" t="s">
        <v>469</v>
      </c>
      <c r="B173" s="34">
        <v>919</v>
      </c>
      <c r="C173" s="34"/>
      <c r="D173" s="35">
        <v>728</v>
      </c>
      <c r="E173" s="36" t="str">
        <f t="shared" si="29"/>
        <v/>
      </c>
      <c r="F173" s="37" t="str">
        <f t="shared" si="30"/>
        <v/>
      </c>
      <c r="G173" s="38">
        <f t="shared" si="31"/>
        <v>0</v>
      </c>
      <c r="H173" s="38">
        <f t="shared" si="31"/>
        <v>0</v>
      </c>
      <c r="I173" s="39">
        <v>517</v>
      </c>
      <c r="J173" s="40">
        <f t="shared" si="38"/>
        <v>0.7101648351648352</v>
      </c>
      <c r="K173" s="41">
        <v>-22.4</v>
      </c>
      <c r="L173" s="42">
        <v>1</v>
      </c>
      <c r="M173" s="39">
        <f t="shared" si="32"/>
        <v>517</v>
      </c>
      <c r="N173" s="40">
        <f t="shared" si="33"/>
        <v>0.7101648351648352</v>
      </c>
      <c r="O173" s="43"/>
      <c r="P173" s="44"/>
      <c r="Q173" s="45"/>
      <c r="R173" s="46"/>
      <c r="S173" s="47"/>
      <c r="T173" s="34">
        <f t="shared" si="26"/>
        <v>0</v>
      </c>
      <c r="U173" s="34">
        <f t="shared" si="34"/>
        <v>0</v>
      </c>
      <c r="V173" s="34">
        <f t="shared" si="35"/>
        <v>0</v>
      </c>
      <c r="W173" s="34">
        <f t="shared" si="36"/>
        <v>0</v>
      </c>
      <c r="X173" s="48" t="s">
        <v>155</v>
      </c>
      <c r="Y173" s="48" t="s">
        <v>141</v>
      </c>
      <c r="Z173" s="49" t="s">
        <v>47</v>
      </c>
      <c r="AA173" s="49" t="s">
        <v>461</v>
      </c>
      <c r="AB173" s="33" t="s">
        <v>462</v>
      </c>
      <c r="AC173" s="33"/>
      <c r="AD173" s="50">
        <f t="shared" si="37"/>
        <v>0.7101648351648352</v>
      </c>
      <c r="AE173" s="51">
        <f t="shared" si="27"/>
        <v>0</v>
      </c>
      <c r="AF173" s="51">
        <f t="shared" si="28"/>
        <v>0</v>
      </c>
      <c r="AG173" s="52">
        <v>1047</v>
      </c>
      <c r="AH173" s="52">
        <v>919</v>
      </c>
      <c r="AI173" s="52">
        <v>1</v>
      </c>
      <c r="AJ173" s="53" t="s">
        <v>470</v>
      </c>
    </row>
    <row r="174" spans="1:36" ht="15.75" hidden="1" x14ac:dyDescent="0.25">
      <c r="A174" s="33" t="s">
        <v>471</v>
      </c>
      <c r="B174" s="34">
        <v>921</v>
      </c>
      <c r="C174" s="34"/>
      <c r="D174" s="35">
        <v>381</v>
      </c>
      <c r="E174" s="36" t="str">
        <f t="shared" si="29"/>
        <v/>
      </c>
      <c r="F174" s="37" t="str">
        <f t="shared" si="30"/>
        <v/>
      </c>
      <c r="G174" s="38">
        <f t="shared" si="31"/>
        <v>0</v>
      </c>
      <c r="H174" s="38">
        <f t="shared" si="31"/>
        <v>0</v>
      </c>
      <c r="I174" s="39">
        <v>200</v>
      </c>
      <c r="J174" s="40">
        <f t="shared" si="38"/>
        <v>0.52493438320209973</v>
      </c>
      <c r="K174" s="41">
        <v>-19.399999999999999</v>
      </c>
      <c r="L174" s="42">
        <v>1</v>
      </c>
      <c r="M174" s="39">
        <f t="shared" si="32"/>
        <v>200</v>
      </c>
      <c r="N174" s="40">
        <f t="shared" si="33"/>
        <v>0.52493438320209973</v>
      </c>
      <c r="O174" s="43"/>
      <c r="P174" s="44"/>
      <c r="Q174" s="45"/>
      <c r="R174" s="46"/>
      <c r="S174" s="47"/>
      <c r="T174" s="34">
        <f t="shared" si="26"/>
        <v>0</v>
      </c>
      <c r="U174" s="34">
        <f t="shared" si="34"/>
        <v>0</v>
      </c>
      <c r="V174" s="34">
        <f t="shared" si="35"/>
        <v>0</v>
      </c>
      <c r="W174" s="34">
        <f t="shared" si="36"/>
        <v>0</v>
      </c>
      <c r="X174" s="48" t="s">
        <v>155</v>
      </c>
      <c r="Y174" s="48" t="s">
        <v>141</v>
      </c>
      <c r="Z174" s="49" t="s">
        <v>47</v>
      </c>
      <c r="AA174" s="49" t="s">
        <v>461</v>
      </c>
      <c r="AB174" s="33" t="s">
        <v>462</v>
      </c>
      <c r="AC174" s="33"/>
      <c r="AD174" s="50">
        <f t="shared" si="37"/>
        <v>0.52493438320209973</v>
      </c>
      <c r="AE174" s="51">
        <f t="shared" si="27"/>
        <v>0</v>
      </c>
      <c r="AF174" s="51">
        <f t="shared" si="28"/>
        <v>0</v>
      </c>
      <c r="AG174" s="52">
        <v>1047</v>
      </c>
      <c r="AH174" s="52">
        <v>921</v>
      </c>
      <c r="AI174" s="52">
        <v>1</v>
      </c>
      <c r="AJ174" s="53" t="s">
        <v>472</v>
      </c>
    </row>
    <row r="175" spans="1:36" ht="15.75" hidden="1" x14ac:dyDescent="0.25">
      <c r="A175" s="33" t="s">
        <v>473</v>
      </c>
      <c r="B175" s="34">
        <v>808</v>
      </c>
      <c r="C175" s="34"/>
      <c r="D175" s="35">
        <v>1240</v>
      </c>
      <c r="E175" s="36" t="str">
        <f t="shared" si="29"/>
        <v/>
      </c>
      <c r="F175" s="37" t="str">
        <f t="shared" si="30"/>
        <v/>
      </c>
      <c r="G175" s="38">
        <f t="shared" si="31"/>
        <v>0</v>
      </c>
      <c r="H175" s="38">
        <f t="shared" si="31"/>
        <v>0</v>
      </c>
      <c r="I175" s="39">
        <v>941</v>
      </c>
      <c r="J175" s="40">
        <f t="shared" si="38"/>
        <v>0.75887096774193552</v>
      </c>
      <c r="K175" s="41">
        <v>13.24</v>
      </c>
      <c r="L175" s="42">
        <v>0.997</v>
      </c>
      <c r="M175" s="39">
        <f t="shared" si="32"/>
        <v>941</v>
      </c>
      <c r="N175" s="40">
        <f t="shared" si="33"/>
        <v>0.75887096774193552</v>
      </c>
      <c r="O175" s="43"/>
      <c r="P175" s="44"/>
      <c r="Q175" s="45"/>
      <c r="R175" s="46"/>
      <c r="S175" s="47"/>
      <c r="T175" s="34">
        <f t="shared" si="26"/>
        <v>0</v>
      </c>
      <c r="U175" s="34">
        <f t="shared" si="34"/>
        <v>0</v>
      </c>
      <c r="V175" s="34">
        <f t="shared" si="35"/>
        <v>0</v>
      </c>
      <c r="W175" s="34">
        <f t="shared" si="36"/>
        <v>0</v>
      </c>
      <c r="X175" s="48" t="s">
        <v>155</v>
      </c>
      <c r="Y175" s="48" t="s">
        <v>141</v>
      </c>
      <c r="Z175" s="49" t="s">
        <v>47</v>
      </c>
      <c r="AA175" s="49" t="s">
        <v>461</v>
      </c>
      <c r="AB175" s="33" t="s">
        <v>462</v>
      </c>
      <c r="AC175" s="33" t="s">
        <v>463</v>
      </c>
      <c r="AD175" s="50">
        <f t="shared" si="37"/>
        <v>0.75887096774193552</v>
      </c>
      <c r="AE175" s="51">
        <f t="shared" si="27"/>
        <v>0</v>
      </c>
      <c r="AF175" s="51">
        <f t="shared" si="28"/>
        <v>0</v>
      </c>
      <c r="AG175" s="52">
        <v>897</v>
      </c>
      <c r="AH175" s="52">
        <v>808</v>
      </c>
      <c r="AI175" s="52">
        <v>1</v>
      </c>
      <c r="AJ175" s="53" t="s">
        <v>474</v>
      </c>
    </row>
    <row r="176" spans="1:36" ht="15.75" hidden="1" x14ac:dyDescent="0.25">
      <c r="A176" s="33" t="s">
        <v>475</v>
      </c>
      <c r="B176" s="34">
        <v>9356</v>
      </c>
      <c r="C176" s="34"/>
      <c r="D176" s="85">
        <v>352</v>
      </c>
      <c r="E176" s="36" t="str">
        <f t="shared" si="29"/>
        <v/>
      </c>
      <c r="F176" s="37" t="str">
        <f t="shared" si="30"/>
        <v/>
      </c>
      <c r="G176" s="38">
        <f t="shared" si="31"/>
        <v>0</v>
      </c>
      <c r="H176" s="38">
        <f t="shared" si="31"/>
        <v>0</v>
      </c>
      <c r="I176" s="39">
        <v>121</v>
      </c>
      <c r="J176" s="40">
        <f t="shared" si="38"/>
        <v>0.34375</v>
      </c>
      <c r="K176" s="41">
        <v>1.7070000000000001</v>
      </c>
      <c r="L176" s="42">
        <v>1.01</v>
      </c>
      <c r="M176" s="39">
        <f t="shared" si="32"/>
        <v>121</v>
      </c>
      <c r="N176" s="40">
        <f t="shared" si="33"/>
        <v>0.34375</v>
      </c>
      <c r="O176" s="43"/>
      <c r="P176" s="44"/>
      <c r="Q176" s="45"/>
      <c r="R176" s="46"/>
      <c r="S176" s="47"/>
      <c r="T176" s="34">
        <f t="shared" si="26"/>
        <v>0</v>
      </c>
      <c r="U176" s="34">
        <f t="shared" si="34"/>
        <v>0</v>
      </c>
      <c r="V176" s="34">
        <f t="shared" si="35"/>
        <v>0</v>
      </c>
      <c r="W176" s="34">
        <f t="shared" si="36"/>
        <v>0</v>
      </c>
      <c r="X176" s="48" t="s">
        <v>155</v>
      </c>
      <c r="Y176" s="48" t="s">
        <v>141</v>
      </c>
      <c r="Z176" s="49" t="s">
        <v>47</v>
      </c>
      <c r="AA176" s="49" t="s">
        <v>461</v>
      </c>
      <c r="AB176" s="33" t="s">
        <v>462</v>
      </c>
      <c r="AC176" s="33" t="s">
        <v>476</v>
      </c>
      <c r="AD176" s="50">
        <f t="shared" si="37"/>
        <v>0.34375</v>
      </c>
      <c r="AE176" s="51">
        <f t="shared" si="27"/>
        <v>0</v>
      </c>
      <c r="AF176" s="51">
        <f t="shared" si="28"/>
        <v>0</v>
      </c>
      <c r="AG176" s="52">
        <v>9354</v>
      </c>
      <c r="AH176" s="52">
        <v>9356</v>
      </c>
      <c r="AI176" s="52">
        <v>1</v>
      </c>
      <c r="AJ176" s="53" t="s">
        <v>477</v>
      </c>
    </row>
    <row r="177" spans="1:36" ht="15.75" hidden="1" x14ac:dyDescent="0.25">
      <c r="A177" s="33" t="s">
        <v>478</v>
      </c>
      <c r="B177" s="34">
        <v>806</v>
      </c>
      <c r="C177" s="34"/>
      <c r="D177" s="35">
        <v>122</v>
      </c>
      <c r="E177" s="36" t="str">
        <f t="shared" si="29"/>
        <v/>
      </c>
      <c r="F177" s="37" t="str">
        <f t="shared" si="30"/>
        <v/>
      </c>
      <c r="G177" s="38">
        <f t="shared" si="31"/>
        <v>0</v>
      </c>
      <c r="H177" s="38">
        <f t="shared" si="31"/>
        <v>0</v>
      </c>
      <c r="I177" s="39">
        <v>70</v>
      </c>
      <c r="J177" s="40">
        <f t="shared" si="38"/>
        <v>0.57377049180327866</v>
      </c>
      <c r="K177" s="41">
        <v>-8.09</v>
      </c>
      <c r="L177" s="42">
        <v>0.96699999999999997</v>
      </c>
      <c r="M177" s="39">
        <f t="shared" si="32"/>
        <v>70</v>
      </c>
      <c r="N177" s="40">
        <f t="shared" si="33"/>
        <v>0.57377049180327866</v>
      </c>
      <c r="O177" s="43"/>
      <c r="P177" s="44"/>
      <c r="Q177" s="45"/>
      <c r="R177" s="46"/>
      <c r="S177" s="47"/>
      <c r="T177" s="34">
        <f t="shared" si="26"/>
        <v>0</v>
      </c>
      <c r="U177" s="34">
        <f t="shared" si="34"/>
        <v>0</v>
      </c>
      <c r="V177" s="34">
        <f t="shared" si="35"/>
        <v>0</v>
      </c>
      <c r="W177" s="34">
        <f t="shared" si="36"/>
        <v>0</v>
      </c>
      <c r="X177" s="48" t="s">
        <v>155</v>
      </c>
      <c r="Y177" s="48" t="s">
        <v>141</v>
      </c>
      <c r="Z177" s="115" t="s">
        <v>39</v>
      </c>
      <c r="AA177" s="49" t="s">
        <v>479</v>
      </c>
      <c r="AB177" s="33" t="s">
        <v>462</v>
      </c>
      <c r="AC177" s="33"/>
      <c r="AD177" s="50">
        <f t="shared" si="37"/>
        <v>0.57377049180327866</v>
      </c>
      <c r="AE177" s="51">
        <f t="shared" si="27"/>
        <v>0</v>
      </c>
      <c r="AF177" s="51">
        <f t="shared" si="28"/>
        <v>0</v>
      </c>
      <c r="AG177" s="52">
        <v>807</v>
      </c>
      <c r="AH177" s="52">
        <v>806</v>
      </c>
      <c r="AI177" s="52">
        <v>1</v>
      </c>
      <c r="AJ177" s="53" t="s">
        <v>480</v>
      </c>
    </row>
    <row r="178" spans="1:36" ht="15.75" hidden="1" x14ac:dyDescent="0.25">
      <c r="A178" s="33" t="s">
        <v>481</v>
      </c>
      <c r="B178" s="34">
        <v>2475</v>
      </c>
      <c r="C178" s="34"/>
      <c r="D178" s="35">
        <v>122</v>
      </c>
      <c r="E178" s="36" t="str">
        <f t="shared" si="29"/>
        <v/>
      </c>
      <c r="F178" s="37" t="str">
        <f t="shared" si="30"/>
        <v/>
      </c>
      <c r="G178" s="38">
        <f t="shared" si="31"/>
        <v>0</v>
      </c>
      <c r="H178" s="38">
        <f t="shared" si="31"/>
        <v>0</v>
      </c>
      <c r="I178" s="39">
        <v>70</v>
      </c>
      <c r="J178" s="40">
        <f t="shared" si="38"/>
        <v>0.57377049180327866</v>
      </c>
      <c r="K178" s="41">
        <v>-9.5</v>
      </c>
      <c r="L178" s="42">
        <v>0.96499999999999997</v>
      </c>
      <c r="M178" s="39">
        <f t="shared" si="32"/>
        <v>70</v>
      </c>
      <c r="N178" s="40">
        <f t="shared" si="33"/>
        <v>0.57377049180327866</v>
      </c>
      <c r="O178" s="43"/>
      <c r="P178" s="44"/>
      <c r="Q178" s="45"/>
      <c r="R178" s="46"/>
      <c r="S178" s="47"/>
      <c r="T178" s="34">
        <f t="shared" si="26"/>
        <v>0</v>
      </c>
      <c r="U178" s="34">
        <f t="shared" si="34"/>
        <v>0</v>
      </c>
      <c r="V178" s="34">
        <f t="shared" si="35"/>
        <v>0</v>
      </c>
      <c r="W178" s="34">
        <f t="shared" si="36"/>
        <v>0</v>
      </c>
      <c r="X178" s="48" t="s">
        <v>155</v>
      </c>
      <c r="Y178" s="48" t="s">
        <v>141</v>
      </c>
      <c r="Z178" s="49" t="s">
        <v>47</v>
      </c>
      <c r="AA178" s="49" t="s">
        <v>479</v>
      </c>
      <c r="AB178" s="33" t="s">
        <v>462</v>
      </c>
      <c r="AC178" s="33"/>
      <c r="AD178" s="50">
        <f t="shared" si="37"/>
        <v>0.57377049180327866</v>
      </c>
      <c r="AE178" s="51">
        <f t="shared" si="27"/>
        <v>0</v>
      </c>
      <c r="AF178" s="51">
        <f t="shared" si="28"/>
        <v>0</v>
      </c>
      <c r="AG178" s="52">
        <v>2476</v>
      </c>
      <c r="AH178" s="52">
        <v>2475</v>
      </c>
      <c r="AI178" s="52">
        <v>1</v>
      </c>
      <c r="AJ178" s="53" t="s">
        <v>482</v>
      </c>
    </row>
    <row r="179" spans="1:36" ht="15.75" hidden="1" x14ac:dyDescent="0.25">
      <c r="A179" s="33" t="s">
        <v>483</v>
      </c>
      <c r="B179" s="34">
        <v>9740</v>
      </c>
      <c r="C179" s="34"/>
      <c r="D179" s="85">
        <v>141</v>
      </c>
      <c r="E179" s="36" t="str">
        <f t="shared" si="29"/>
        <v/>
      </c>
      <c r="F179" s="37" t="str">
        <f t="shared" si="30"/>
        <v/>
      </c>
      <c r="G179" s="38">
        <f t="shared" si="31"/>
        <v>0</v>
      </c>
      <c r="H179" s="38">
        <f t="shared" si="31"/>
        <v>0</v>
      </c>
      <c r="I179" s="39">
        <v>46</v>
      </c>
      <c r="J179" s="40">
        <f t="shared" si="38"/>
        <v>0.32624113475177308</v>
      </c>
      <c r="K179" s="41">
        <v>-10.5</v>
      </c>
      <c r="L179" s="42">
        <v>1.02</v>
      </c>
      <c r="M179" s="39">
        <f t="shared" si="32"/>
        <v>46</v>
      </c>
      <c r="N179" s="40">
        <f t="shared" si="33"/>
        <v>0.32624113475177308</v>
      </c>
      <c r="O179" s="43"/>
      <c r="P179" s="44"/>
      <c r="Q179" s="45"/>
      <c r="R179" s="46"/>
      <c r="S179" s="47"/>
      <c r="T179" s="34">
        <f t="shared" si="26"/>
        <v>0</v>
      </c>
      <c r="U179" s="34">
        <f t="shared" si="34"/>
        <v>0</v>
      </c>
      <c r="V179" s="34">
        <f t="shared" si="35"/>
        <v>0</v>
      </c>
      <c r="W179" s="34">
        <f t="shared" si="36"/>
        <v>0</v>
      </c>
      <c r="X179" s="48" t="s">
        <v>484</v>
      </c>
      <c r="Y179" s="48" t="s">
        <v>141</v>
      </c>
      <c r="Z179" s="49" t="s">
        <v>47</v>
      </c>
      <c r="AA179" s="49" t="s">
        <v>485</v>
      </c>
      <c r="AB179" s="33" t="s">
        <v>486</v>
      </c>
      <c r="AC179" s="33"/>
      <c r="AD179" s="50">
        <f t="shared" si="37"/>
        <v>0.32624113475177308</v>
      </c>
      <c r="AE179" s="51">
        <f t="shared" si="27"/>
        <v>0</v>
      </c>
      <c r="AF179" s="51">
        <f t="shared" si="28"/>
        <v>0</v>
      </c>
      <c r="AG179" s="52">
        <v>9741</v>
      </c>
      <c r="AH179" s="52">
        <v>9740</v>
      </c>
      <c r="AI179" s="52">
        <v>1</v>
      </c>
      <c r="AJ179" s="53" t="s">
        <v>487</v>
      </c>
    </row>
    <row r="180" spans="1:36" ht="15.75" hidden="1" x14ac:dyDescent="0.25">
      <c r="A180" s="33" t="s">
        <v>488</v>
      </c>
      <c r="B180" s="34">
        <v>9735</v>
      </c>
      <c r="C180" s="34"/>
      <c r="D180" s="35">
        <v>189</v>
      </c>
      <c r="E180" s="36" t="str">
        <f t="shared" si="29"/>
        <v/>
      </c>
      <c r="F180" s="37" t="str">
        <f t="shared" si="30"/>
        <v/>
      </c>
      <c r="G180" s="38">
        <f t="shared" si="31"/>
        <v>0</v>
      </c>
      <c r="H180" s="38">
        <f t="shared" si="31"/>
        <v>0</v>
      </c>
      <c r="I180" s="39">
        <v>90</v>
      </c>
      <c r="J180" s="40">
        <f t="shared" si="38"/>
        <v>0.47619047619047616</v>
      </c>
      <c r="K180" s="41">
        <v>-21.4</v>
      </c>
      <c r="L180" s="42">
        <v>1.01</v>
      </c>
      <c r="M180" s="39">
        <f t="shared" si="32"/>
        <v>90</v>
      </c>
      <c r="N180" s="40">
        <f t="shared" si="33"/>
        <v>0.47619047619047616</v>
      </c>
      <c r="O180" s="43"/>
      <c r="P180" s="44"/>
      <c r="Q180" s="45"/>
      <c r="R180" s="46"/>
      <c r="S180" s="47"/>
      <c r="T180" s="34">
        <f t="shared" si="26"/>
        <v>0</v>
      </c>
      <c r="U180" s="34">
        <f t="shared" si="34"/>
        <v>0</v>
      </c>
      <c r="V180" s="34">
        <f t="shared" si="35"/>
        <v>0</v>
      </c>
      <c r="W180" s="34">
        <f t="shared" si="36"/>
        <v>0</v>
      </c>
      <c r="X180" s="48" t="s">
        <v>484</v>
      </c>
      <c r="Y180" s="48" t="s">
        <v>141</v>
      </c>
      <c r="Z180" s="49" t="s">
        <v>47</v>
      </c>
      <c r="AA180" s="49" t="s">
        <v>485</v>
      </c>
      <c r="AB180" s="33" t="s">
        <v>486</v>
      </c>
      <c r="AC180" s="33"/>
      <c r="AD180" s="50">
        <f t="shared" si="37"/>
        <v>0.47619047619047616</v>
      </c>
      <c r="AE180" s="51">
        <f t="shared" si="27"/>
        <v>0</v>
      </c>
      <c r="AF180" s="51">
        <f t="shared" si="28"/>
        <v>0</v>
      </c>
      <c r="AG180" s="52">
        <v>9737</v>
      </c>
      <c r="AH180" s="52">
        <v>9735</v>
      </c>
      <c r="AI180" s="52">
        <v>1</v>
      </c>
      <c r="AJ180" s="53" t="s">
        <v>489</v>
      </c>
    </row>
    <row r="181" spans="1:36" ht="15.75" hidden="1" x14ac:dyDescent="0.25">
      <c r="A181" s="33" t="s">
        <v>490</v>
      </c>
      <c r="B181" s="34">
        <v>1157</v>
      </c>
      <c r="C181" s="34"/>
      <c r="D181" s="85">
        <v>879</v>
      </c>
      <c r="E181" s="36" t="str">
        <f t="shared" si="29"/>
        <v/>
      </c>
      <c r="F181" s="37" t="str">
        <f t="shared" si="30"/>
        <v/>
      </c>
      <c r="G181" s="38">
        <f t="shared" si="31"/>
        <v>0</v>
      </c>
      <c r="H181" s="38">
        <f t="shared" si="31"/>
        <v>0</v>
      </c>
      <c r="I181" s="39">
        <v>361</v>
      </c>
      <c r="J181" s="40">
        <f t="shared" si="38"/>
        <v>0.41069397042093286</v>
      </c>
      <c r="K181" s="41">
        <v>-32.200000000000003</v>
      </c>
      <c r="L181" s="42">
        <v>1.03</v>
      </c>
      <c r="M181" s="39">
        <f t="shared" si="32"/>
        <v>361</v>
      </c>
      <c r="N181" s="40">
        <f t="shared" si="33"/>
        <v>0.41069397042093286</v>
      </c>
      <c r="O181" s="43"/>
      <c r="P181" s="44"/>
      <c r="Q181" s="45"/>
      <c r="R181" s="46"/>
      <c r="S181" s="47"/>
      <c r="T181" s="34">
        <f t="shared" si="26"/>
        <v>0</v>
      </c>
      <c r="U181" s="34">
        <f t="shared" si="34"/>
        <v>0</v>
      </c>
      <c r="V181" s="34">
        <f t="shared" si="35"/>
        <v>0</v>
      </c>
      <c r="W181" s="34">
        <f t="shared" si="36"/>
        <v>0</v>
      </c>
      <c r="X181" s="48" t="s">
        <v>484</v>
      </c>
      <c r="Y181" s="48" t="s">
        <v>141</v>
      </c>
      <c r="Z181" s="49" t="s">
        <v>39</v>
      </c>
      <c r="AA181" s="49" t="s">
        <v>485</v>
      </c>
      <c r="AB181" s="33" t="s">
        <v>486</v>
      </c>
      <c r="AC181" s="33"/>
      <c r="AD181" s="50">
        <f t="shared" si="37"/>
        <v>0.41069397042093286</v>
      </c>
      <c r="AE181" s="51">
        <f t="shared" si="27"/>
        <v>0</v>
      </c>
      <c r="AF181" s="51">
        <f t="shared" si="28"/>
        <v>0</v>
      </c>
      <c r="AG181" s="52">
        <v>953</v>
      </c>
      <c r="AH181" s="52">
        <v>1157</v>
      </c>
      <c r="AI181" s="52">
        <v>1</v>
      </c>
      <c r="AJ181" s="53" t="s">
        <v>491</v>
      </c>
    </row>
    <row r="182" spans="1:36" ht="15.75" hidden="1" x14ac:dyDescent="0.25">
      <c r="A182" s="33" t="s">
        <v>492</v>
      </c>
      <c r="B182" s="34">
        <v>1150</v>
      </c>
      <c r="C182" s="34"/>
      <c r="D182" s="35">
        <v>690</v>
      </c>
      <c r="E182" s="36" t="str">
        <f t="shared" si="29"/>
        <v/>
      </c>
      <c r="F182" s="37" t="str">
        <f t="shared" si="30"/>
        <v/>
      </c>
      <c r="G182" s="38">
        <f t="shared" si="31"/>
        <v>0</v>
      </c>
      <c r="H182" s="38">
        <f t="shared" si="31"/>
        <v>0</v>
      </c>
      <c r="I182" s="39">
        <v>570</v>
      </c>
      <c r="J182" s="40">
        <f t="shared" si="38"/>
        <v>0.82608695652173914</v>
      </c>
      <c r="K182" s="41">
        <v>-124</v>
      </c>
      <c r="L182" s="42">
        <v>1</v>
      </c>
      <c r="M182" s="39">
        <f t="shared" si="32"/>
        <v>570</v>
      </c>
      <c r="N182" s="40">
        <f t="shared" si="33"/>
        <v>0.82608695652173914</v>
      </c>
      <c r="O182" s="43"/>
      <c r="P182" s="44"/>
      <c r="Q182" s="45"/>
      <c r="R182" s="46"/>
      <c r="S182" s="47"/>
      <c r="T182" s="34">
        <f t="shared" si="26"/>
        <v>0</v>
      </c>
      <c r="U182" s="34">
        <f t="shared" si="34"/>
        <v>0</v>
      </c>
      <c r="V182" s="34">
        <f t="shared" si="35"/>
        <v>0</v>
      </c>
      <c r="W182" s="34">
        <f t="shared" si="36"/>
        <v>0</v>
      </c>
      <c r="X182" s="48" t="s">
        <v>484</v>
      </c>
      <c r="Y182" s="48" t="s">
        <v>141</v>
      </c>
      <c r="Z182" s="49" t="s">
        <v>39</v>
      </c>
      <c r="AA182" s="49" t="s">
        <v>493</v>
      </c>
      <c r="AB182" s="33" t="s">
        <v>486</v>
      </c>
      <c r="AC182" s="33"/>
      <c r="AD182" s="50">
        <f t="shared" si="37"/>
        <v>0.82608695652173914</v>
      </c>
      <c r="AE182" s="51">
        <f t="shared" si="27"/>
        <v>0</v>
      </c>
      <c r="AF182" s="51">
        <f t="shared" si="28"/>
        <v>0</v>
      </c>
      <c r="AG182" s="52">
        <v>936</v>
      </c>
      <c r="AH182" s="52">
        <v>1150</v>
      </c>
      <c r="AI182" s="52">
        <v>1</v>
      </c>
      <c r="AJ182" s="53" t="s">
        <v>494</v>
      </c>
    </row>
    <row r="183" spans="1:36" ht="15.75" hidden="1" x14ac:dyDescent="0.25">
      <c r="A183" s="33" t="s">
        <v>495</v>
      </c>
      <c r="B183" s="34">
        <v>915</v>
      </c>
      <c r="C183" s="34"/>
      <c r="D183" s="35">
        <v>1140</v>
      </c>
      <c r="E183" s="36" t="str">
        <f t="shared" si="29"/>
        <v/>
      </c>
      <c r="F183" s="37" t="str">
        <f t="shared" si="30"/>
        <v/>
      </c>
      <c r="G183" s="38">
        <f t="shared" si="31"/>
        <v>0</v>
      </c>
      <c r="H183" s="38">
        <f t="shared" si="31"/>
        <v>0</v>
      </c>
      <c r="I183" s="39">
        <v>781</v>
      </c>
      <c r="J183" s="40">
        <f t="shared" si="38"/>
        <v>0.68508771929824563</v>
      </c>
      <c r="K183" s="41">
        <v>-276</v>
      </c>
      <c r="L183" s="42">
        <v>1.02</v>
      </c>
      <c r="M183" s="39">
        <f t="shared" si="32"/>
        <v>781</v>
      </c>
      <c r="N183" s="40">
        <f t="shared" si="33"/>
        <v>0.68508771929824563</v>
      </c>
      <c r="O183" s="43"/>
      <c r="P183" s="44"/>
      <c r="Q183" s="45"/>
      <c r="R183" s="46"/>
      <c r="S183" s="47"/>
      <c r="T183" s="34">
        <f>IF(M183=0,1,AK183)</f>
        <v>0</v>
      </c>
      <c r="U183" s="34">
        <f t="shared" si="34"/>
        <v>0</v>
      </c>
      <c r="V183" s="34">
        <f t="shared" si="35"/>
        <v>0</v>
      </c>
      <c r="W183" s="34">
        <f t="shared" si="36"/>
        <v>0</v>
      </c>
      <c r="X183" s="48" t="s">
        <v>484</v>
      </c>
      <c r="Y183" s="48" t="s">
        <v>141</v>
      </c>
      <c r="Z183" s="49" t="s">
        <v>39</v>
      </c>
      <c r="AA183" s="49" t="s">
        <v>486</v>
      </c>
      <c r="AB183" s="33" t="s">
        <v>486</v>
      </c>
      <c r="AC183" s="33" t="s">
        <v>463</v>
      </c>
      <c r="AD183" s="50">
        <f t="shared" si="37"/>
        <v>0.68508771929824563</v>
      </c>
      <c r="AE183" s="51">
        <f t="shared" si="27"/>
        <v>0</v>
      </c>
      <c r="AF183" s="51">
        <f t="shared" si="28"/>
        <v>0</v>
      </c>
      <c r="AG183" s="52">
        <v>1030</v>
      </c>
      <c r="AH183" s="52">
        <v>915</v>
      </c>
      <c r="AI183" s="52">
        <v>1</v>
      </c>
      <c r="AJ183" s="53" t="s">
        <v>496</v>
      </c>
    </row>
    <row r="184" spans="1:36" ht="15.75" hidden="1" x14ac:dyDescent="0.25">
      <c r="A184" s="33" t="s">
        <v>497</v>
      </c>
      <c r="B184" s="34">
        <v>904</v>
      </c>
      <c r="C184" s="34"/>
      <c r="D184" s="35">
        <v>1450</v>
      </c>
      <c r="E184" s="36" t="str">
        <f t="shared" si="29"/>
        <v/>
      </c>
      <c r="F184" s="37" t="str">
        <f t="shared" si="30"/>
        <v/>
      </c>
      <c r="G184" s="38">
        <f t="shared" si="31"/>
        <v>0</v>
      </c>
      <c r="H184" s="38">
        <f t="shared" si="31"/>
        <v>0</v>
      </c>
      <c r="I184" s="39">
        <v>1001</v>
      </c>
      <c r="J184" s="40">
        <f t="shared" si="38"/>
        <v>0.69034482758620686</v>
      </c>
      <c r="K184" s="41">
        <v>-365</v>
      </c>
      <c r="L184" s="42">
        <v>1</v>
      </c>
      <c r="M184" s="39">
        <f t="shared" si="32"/>
        <v>1001</v>
      </c>
      <c r="N184" s="40">
        <f t="shared" si="33"/>
        <v>0.69034482758620686</v>
      </c>
      <c r="O184" s="43"/>
      <c r="P184" s="44"/>
      <c r="Q184" s="45"/>
      <c r="R184" s="46"/>
      <c r="S184" s="47"/>
      <c r="T184" s="34">
        <f t="shared" ref="T184:T247" si="39">AK184</f>
        <v>0</v>
      </c>
      <c r="U184" s="34">
        <f t="shared" si="34"/>
        <v>0</v>
      </c>
      <c r="V184" s="34">
        <f t="shared" si="35"/>
        <v>0</v>
      </c>
      <c r="W184" s="34">
        <f t="shared" si="36"/>
        <v>0</v>
      </c>
      <c r="X184" s="48" t="s">
        <v>484</v>
      </c>
      <c r="Y184" s="48" t="s">
        <v>141</v>
      </c>
      <c r="Z184" s="49" t="s">
        <v>47</v>
      </c>
      <c r="AA184" s="49" t="s">
        <v>486</v>
      </c>
      <c r="AB184" s="33" t="s">
        <v>486</v>
      </c>
      <c r="AC184" s="33" t="s">
        <v>463</v>
      </c>
      <c r="AD184" s="50">
        <f t="shared" si="37"/>
        <v>0.69034482758620686</v>
      </c>
      <c r="AE184" s="51">
        <f t="shared" si="27"/>
        <v>0</v>
      </c>
      <c r="AF184" s="51">
        <f t="shared" si="28"/>
        <v>0</v>
      </c>
      <c r="AG184" s="52">
        <v>996</v>
      </c>
      <c r="AH184" s="52">
        <v>904</v>
      </c>
      <c r="AI184" s="52">
        <v>1</v>
      </c>
      <c r="AJ184" s="53" t="s">
        <v>498</v>
      </c>
    </row>
    <row r="185" spans="1:36" ht="15.75" hidden="1" x14ac:dyDescent="0.25">
      <c r="A185" s="33" t="s">
        <v>499</v>
      </c>
      <c r="B185" s="34">
        <v>917</v>
      </c>
      <c r="C185" s="34"/>
      <c r="D185" s="35">
        <v>232</v>
      </c>
      <c r="E185" s="36" t="str">
        <f t="shared" si="29"/>
        <v/>
      </c>
      <c r="F185" s="37" t="str">
        <f t="shared" si="30"/>
        <v/>
      </c>
      <c r="G185" s="38">
        <f t="shared" si="31"/>
        <v>0</v>
      </c>
      <c r="H185" s="38">
        <f t="shared" si="31"/>
        <v>0</v>
      </c>
      <c r="I185" s="39">
        <v>140</v>
      </c>
      <c r="J185" s="40">
        <f t="shared" si="38"/>
        <v>0.60344827586206895</v>
      </c>
      <c r="K185" s="41">
        <v>-22</v>
      </c>
      <c r="L185" s="42">
        <v>0.98299999999999998</v>
      </c>
      <c r="M185" s="39">
        <f t="shared" si="32"/>
        <v>140</v>
      </c>
      <c r="N185" s="40">
        <f t="shared" si="33"/>
        <v>0.60344827586206895</v>
      </c>
      <c r="O185" s="43"/>
      <c r="P185" s="44"/>
      <c r="Q185" s="45"/>
      <c r="R185" s="46"/>
      <c r="S185" s="47"/>
      <c r="T185" s="34">
        <f t="shared" si="39"/>
        <v>0</v>
      </c>
      <c r="U185" s="34">
        <f t="shared" si="34"/>
        <v>0</v>
      </c>
      <c r="V185" s="34">
        <f t="shared" si="35"/>
        <v>0</v>
      </c>
      <c r="W185" s="34">
        <f t="shared" si="36"/>
        <v>0</v>
      </c>
      <c r="X185" s="48" t="s">
        <v>500</v>
      </c>
      <c r="Y185" s="48" t="s">
        <v>141</v>
      </c>
      <c r="Z185" s="49" t="s">
        <v>39</v>
      </c>
      <c r="AA185" s="49" t="s">
        <v>501</v>
      </c>
      <c r="AB185" s="33" t="s">
        <v>486</v>
      </c>
      <c r="AC185" s="33"/>
      <c r="AD185" s="50">
        <f t="shared" si="37"/>
        <v>0.60344827586206895</v>
      </c>
      <c r="AE185" s="51">
        <f t="shared" si="27"/>
        <v>0</v>
      </c>
      <c r="AF185" s="51">
        <f t="shared" si="28"/>
        <v>0</v>
      </c>
      <c r="AG185" s="52">
        <v>1041</v>
      </c>
      <c r="AH185" s="52">
        <v>917</v>
      </c>
      <c r="AI185" s="52">
        <v>1</v>
      </c>
      <c r="AJ185" s="53" t="s">
        <v>502</v>
      </c>
    </row>
    <row r="186" spans="1:36" ht="15.75" hidden="1" x14ac:dyDescent="0.25">
      <c r="A186" s="33" t="s">
        <v>503</v>
      </c>
      <c r="B186" s="34">
        <v>931</v>
      </c>
      <c r="C186" s="34"/>
      <c r="D186" s="35">
        <v>74</v>
      </c>
      <c r="E186" s="36" t="str">
        <f t="shared" si="29"/>
        <v/>
      </c>
      <c r="F186" s="37" t="str">
        <f t="shared" si="30"/>
        <v/>
      </c>
      <c r="G186" s="38">
        <f t="shared" si="31"/>
        <v>0</v>
      </c>
      <c r="H186" s="38">
        <f t="shared" si="31"/>
        <v>0</v>
      </c>
      <c r="I186" s="39">
        <v>38</v>
      </c>
      <c r="J186" s="40">
        <f t="shared" si="38"/>
        <v>0.51351351351351349</v>
      </c>
      <c r="K186" s="41">
        <v>5.9710000000000001</v>
      </c>
      <c r="L186" s="42">
        <v>0.997</v>
      </c>
      <c r="M186" s="39">
        <f t="shared" si="32"/>
        <v>38</v>
      </c>
      <c r="N186" s="40">
        <f t="shared" si="33"/>
        <v>0.51351351351351349</v>
      </c>
      <c r="O186" s="43"/>
      <c r="P186" s="44"/>
      <c r="Q186" s="45"/>
      <c r="R186" s="46"/>
      <c r="S186" s="47"/>
      <c r="T186" s="34">
        <f t="shared" si="39"/>
        <v>0</v>
      </c>
      <c r="U186" s="34">
        <f t="shared" si="34"/>
        <v>0</v>
      </c>
      <c r="V186" s="34">
        <f t="shared" si="35"/>
        <v>0</v>
      </c>
      <c r="W186" s="34">
        <f t="shared" si="36"/>
        <v>0</v>
      </c>
      <c r="X186" s="48" t="s">
        <v>500</v>
      </c>
      <c r="Y186" s="48" t="s">
        <v>141</v>
      </c>
      <c r="Z186" s="49" t="s">
        <v>47</v>
      </c>
      <c r="AA186" s="49" t="s">
        <v>501</v>
      </c>
      <c r="AB186" s="33" t="s">
        <v>486</v>
      </c>
      <c r="AC186" s="33"/>
      <c r="AD186" s="50">
        <f t="shared" si="37"/>
        <v>0.51351351351351349</v>
      </c>
      <c r="AE186" s="51">
        <f t="shared" si="27"/>
        <v>0</v>
      </c>
      <c r="AF186" s="51">
        <f t="shared" si="28"/>
        <v>0</v>
      </c>
      <c r="AG186" s="52">
        <v>932</v>
      </c>
      <c r="AH186" s="52">
        <v>931</v>
      </c>
      <c r="AI186" s="52">
        <v>1</v>
      </c>
      <c r="AJ186" s="53" t="s">
        <v>504</v>
      </c>
    </row>
    <row r="187" spans="1:36" ht="15.75" hidden="1" x14ac:dyDescent="0.25">
      <c r="A187" s="33" t="s">
        <v>505</v>
      </c>
      <c r="B187" s="34">
        <v>1070</v>
      </c>
      <c r="C187" s="34"/>
      <c r="D187" s="35">
        <v>855</v>
      </c>
      <c r="E187" s="36" t="str">
        <f t="shared" si="29"/>
        <v/>
      </c>
      <c r="F187" s="37" t="str">
        <f t="shared" si="30"/>
        <v/>
      </c>
      <c r="G187" s="38">
        <f t="shared" si="31"/>
        <v>0</v>
      </c>
      <c r="H187" s="38">
        <f t="shared" si="31"/>
        <v>0</v>
      </c>
      <c r="I187" s="39">
        <v>601</v>
      </c>
      <c r="J187" s="40">
        <f t="shared" si="38"/>
        <v>0.70292397660818717</v>
      </c>
      <c r="K187" s="41">
        <v>58.99</v>
      </c>
      <c r="L187" s="42">
        <v>1</v>
      </c>
      <c r="M187" s="39">
        <f t="shared" si="32"/>
        <v>601</v>
      </c>
      <c r="N187" s="40">
        <f t="shared" si="33"/>
        <v>0.70292397660818717</v>
      </c>
      <c r="O187" s="43"/>
      <c r="P187" s="44"/>
      <c r="Q187" s="45"/>
      <c r="R187" s="46"/>
      <c r="S187" s="47"/>
      <c r="T187" s="34">
        <f t="shared" si="39"/>
        <v>0</v>
      </c>
      <c r="U187" s="34">
        <f t="shared" si="34"/>
        <v>0</v>
      </c>
      <c r="V187" s="34">
        <f t="shared" si="35"/>
        <v>0</v>
      </c>
      <c r="W187" s="34">
        <f t="shared" si="36"/>
        <v>0</v>
      </c>
      <c r="X187" s="48" t="s">
        <v>484</v>
      </c>
      <c r="Y187" s="48" t="s">
        <v>141</v>
      </c>
      <c r="Z187" s="49" t="s">
        <v>47</v>
      </c>
      <c r="AA187" s="49" t="s">
        <v>486</v>
      </c>
      <c r="AB187" s="33" t="s">
        <v>486</v>
      </c>
      <c r="AC187" s="33"/>
      <c r="AD187" s="50">
        <f t="shared" si="37"/>
        <v>0.70292397660818717</v>
      </c>
      <c r="AE187" s="51">
        <f t="shared" si="27"/>
        <v>0</v>
      </c>
      <c r="AF187" s="51">
        <f t="shared" si="28"/>
        <v>0</v>
      </c>
      <c r="AG187" s="52">
        <v>1071</v>
      </c>
      <c r="AH187" s="52">
        <v>1070</v>
      </c>
      <c r="AI187" s="52">
        <v>1</v>
      </c>
      <c r="AJ187" s="53" t="s">
        <v>506</v>
      </c>
    </row>
    <row r="188" spans="1:36" ht="15.75" hidden="1" x14ac:dyDescent="0.25">
      <c r="A188" s="33" t="s">
        <v>507</v>
      </c>
      <c r="B188" s="34">
        <v>2836</v>
      </c>
      <c r="C188" s="34"/>
      <c r="D188" s="35">
        <v>121</v>
      </c>
      <c r="E188" s="36" t="str">
        <f t="shared" si="29"/>
        <v/>
      </c>
      <c r="F188" s="37" t="str">
        <f t="shared" si="30"/>
        <v/>
      </c>
      <c r="G188" s="38">
        <f t="shared" si="31"/>
        <v>0</v>
      </c>
      <c r="H188" s="38">
        <f t="shared" si="31"/>
        <v>0</v>
      </c>
      <c r="I188" s="39">
        <v>93</v>
      </c>
      <c r="J188" s="40">
        <f t="shared" si="38"/>
        <v>0.76859504132231404</v>
      </c>
      <c r="K188" s="41">
        <v>6.1260000000000003</v>
      </c>
      <c r="L188" s="42">
        <v>0.999</v>
      </c>
      <c r="M188" s="39">
        <f t="shared" si="32"/>
        <v>93</v>
      </c>
      <c r="N188" s="40">
        <f t="shared" si="33"/>
        <v>0.76859504132231404</v>
      </c>
      <c r="O188" s="43"/>
      <c r="P188" s="44"/>
      <c r="Q188" s="45"/>
      <c r="R188" s="46"/>
      <c r="S188" s="47"/>
      <c r="T188" s="34">
        <f t="shared" si="39"/>
        <v>0</v>
      </c>
      <c r="U188" s="34">
        <f t="shared" si="34"/>
        <v>0</v>
      </c>
      <c r="V188" s="34">
        <f t="shared" si="35"/>
        <v>0</v>
      </c>
      <c r="W188" s="34">
        <f t="shared" si="36"/>
        <v>0</v>
      </c>
      <c r="X188" s="48" t="s">
        <v>484</v>
      </c>
      <c r="Y188" s="48" t="s">
        <v>141</v>
      </c>
      <c r="Z188" s="49" t="s">
        <v>39</v>
      </c>
      <c r="AA188" s="49" t="s">
        <v>508</v>
      </c>
      <c r="AB188" s="33" t="s">
        <v>486</v>
      </c>
      <c r="AC188" s="33"/>
      <c r="AD188" s="50">
        <f t="shared" si="37"/>
        <v>0.76859504132231404</v>
      </c>
      <c r="AE188" s="51">
        <f t="shared" si="27"/>
        <v>0</v>
      </c>
      <c r="AF188" s="51">
        <f t="shared" si="28"/>
        <v>0</v>
      </c>
      <c r="AG188" s="52">
        <v>2838</v>
      </c>
      <c r="AH188" s="52">
        <v>2836</v>
      </c>
      <c r="AI188" s="52">
        <v>1</v>
      </c>
      <c r="AJ188" s="53" t="s">
        <v>509</v>
      </c>
    </row>
    <row r="189" spans="1:36" ht="15.75" hidden="1" x14ac:dyDescent="0.25">
      <c r="A189" s="33" t="s">
        <v>510</v>
      </c>
      <c r="B189" s="34">
        <v>9220</v>
      </c>
      <c r="C189" s="34"/>
      <c r="D189" s="35">
        <v>51</v>
      </c>
      <c r="E189" s="36" t="str">
        <f t="shared" si="29"/>
        <v/>
      </c>
      <c r="F189" s="37" t="str">
        <f t="shared" si="30"/>
        <v/>
      </c>
      <c r="G189" s="38">
        <f t="shared" si="31"/>
        <v>0</v>
      </c>
      <c r="H189" s="38">
        <f t="shared" si="31"/>
        <v>0</v>
      </c>
      <c r="I189" s="39">
        <v>8</v>
      </c>
      <c r="J189" s="40">
        <f t="shared" si="38"/>
        <v>0.15686274509803921</v>
      </c>
      <c r="K189" s="41">
        <v>1.696</v>
      </c>
      <c r="L189" s="42">
        <v>1</v>
      </c>
      <c r="M189" s="39">
        <f t="shared" si="32"/>
        <v>8</v>
      </c>
      <c r="N189" s="40">
        <f t="shared" si="33"/>
        <v>0.15686274509803921</v>
      </c>
      <c r="O189" s="43"/>
      <c r="P189" s="44"/>
      <c r="Q189" s="45"/>
      <c r="R189" s="46"/>
      <c r="S189" s="47"/>
      <c r="T189" s="34">
        <f t="shared" si="39"/>
        <v>0</v>
      </c>
      <c r="U189" s="34">
        <f t="shared" si="34"/>
        <v>0</v>
      </c>
      <c r="V189" s="34">
        <f t="shared" si="35"/>
        <v>0</v>
      </c>
      <c r="W189" s="34">
        <f t="shared" si="36"/>
        <v>0</v>
      </c>
      <c r="X189" s="48" t="s">
        <v>500</v>
      </c>
      <c r="Y189" s="48" t="s">
        <v>141</v>
      </c>
      <c r="Z189" s="49" t="s">
        <v>47</v>
      </c>
      <c r="AA189" s="49" t="s">
        <v>511</v>
      </c>
      <c r="AB189" s="33" t="s">
        <v>486</v>
      </c>
      <c r="AC189" s="33"/>
      <c r="AD189" s="50">
        <f t="shared" si="37"/>
        <v>0.15686274509803921</v>
      </c>
      <c r="AE189" s="51">
        <f t="shared" si="27"/>
        <v>0</v>
      </c>
      <c r="AF189" s="51">
        <f t="shared" si="28"/>
        <v>0</v>
      </c>
      <c r="AG189" s="52">
        <v>9221</v>
      </c>
      <c r="AH189" s="52">
        <v>9220</v>
      </c>
      <c r="AI189" s="52">
        <v>1</v>
      </c>
      <c r="AJ189" s="53" t="s">
        <v>512</v>
      </c>
    </row>
    <row r="190" spans="1:36" ht="15.75" hidden="1" x14ac:dyDescent="0.25">
      <c r="A190" s="33" t="s">
        <v>513</v>
      </c>
      <c r="B190" s="34">
        <v>9218</v>
      </c>
      <c r="C190" s="34"/>
      <c r="D190" s="35">
        <v>77</v>
      </c>
      <c r="E190" s="36" t="str">
        <f t="shared" si="29"/>
        <v/>
      </c>
      <c r="F190" s="37" t="str">
        <f t="shared" si="30"/>
        <v/>
      </c>
      <c r="G190" s="38">
        <f t="shared" si="31"/>
        <v>0</v>
      </c>
      <c r="H190" s="38">
        <f t="shared" si="31"/>
        <v>0</v>
      </c>
      <c r="I190" s="39">
        <v>10</v>
      </c>
      <c r="J190" s="40">
        <f t="shared" si="38"/>
        <v>0.12987012987012986</v>
      </c>
      <c r="K190" s="41">
        <v>6.2670000000000003</v>
      </c>
      <c r="L190" s="42">
        <v>0.99199999999999999</v>
      </c>
      <c r="M190" s="39">
        <f t="shared" si="32"/>
        <v>10</v>
      </c>
      <c r="N190" s="40">
        <f t="shared" si="33"/>
        <v>0.12987012987012986</v>
      </c>
      <c r="O190" s="43"/>
      <c r="P190" s="44"/>
      <c r="Q190" s="45"/>
      <c r="R190" s="46"/>
      <c r="S190" s="47"/>
      <c r="T190" s="34">
        <f t="shared" si="39"/>
        <v>0</v>
      </c>
      <c r="U190" s="34">
        <f t="shared" si="34"/>
        <v>0</v>
      </c>
      <c r="V190" s="34">
        <f t="shared" si="35"/>
        <v>0</v>
      </c>
      <c r="W190" s="34">
        <f t="shared" si="36"/>
        <v>0</v>
      </c>
      <c r="X190" s="48" t="s">
        <v>500</v>
      </c>
      <c r="Y190" s="48" t="s">
        <v>141</v>
      </c>
      <c r="Z190" s="49" t="s">
        <v>47</v>
      </c>
      <c r="AA190" s="49" t="s">
        <v>511</v>
      </c>
      <c r="AB190" s="33" t="s">
        <v>486</v>
      </c>
      <c r="AC190" s="33"/>
      <c r="AD190" s="50">
        <f t="shared" si="37"/>
        <v>0.12987012987012986</v>
      </c>
      <c r="AE190" s="51">
        <f t="shared" si="27"/>
        <v>0</v>
      </c>
      <c r="AF190" s="51">
        <f t="shared" si="28"/>
        <v>0</v>
      </c>
      <c r="AG190" s="52">
        <v>9917</v>
      </c>
      <c r="AH190" s="52">
        <v>9218</v>
      </c>
      <c r="AI190" s="52">
        <v>1</v>
      </c>
      <c r="AJ190" s="53" t="s">
        <v>514</v>
      </c>
    </row>
    <row r="191" spans="1:36" ht="15.75" hidden="1" x14ac:dyDescent="0.25">
      <c r="A191" s="33" t="s">
        <v>515</v>
      </c>
      <c r="B191" s="34">
        <v>1175</v>
      </c>
      <c r="C191" s="34"/>
      <c r="D191" s="35">
        <v>152</v>
      </c>
      <c r="E191" s="36" t="str">
        <f t="shared" si="29"/>
        <v/>
      </c>
      <c r="F191" s="37" t="str">
        <f t="shared" si="30"/>
        <v/>
      </c>
      <c r="G191" s="38">
        <f t="shared" si="31"/>
        <v>0</v>
      </c>
      <c r="H191" s="38">
        <f t="shared" si="31"/>
        <v>0</v>
      </c>
      <c r="I191" s="39">
        <v>80</v>
      </c>
      <c r="J191" s="40">
        <f t="shared" si="38"/>
        <v>0.52631578947368418</v>
      </c>
      <c r="K191" s="41">
        <v>3.0539999999999998</v>
      </c>
      <c r="L191" s="42">
        <v>1</v>
      </c>
      <c r="M191" s="39">
        <f t="shared" si="32"/>
        <v>80</v>
      </c>
      <c r="N191" s="40">
        <f t="shared" si="33"/>
        <v>0.52631578947368418</v>
      </c>
      <c r="O191" s="43"/>
      <c r="P191" s="44"/>
      <c r="Q191" s="45"/>
      <c r="R191" s="46"/>
      <c r="S191" s="47"/>
      <c r="T191" s="34">
        <f t="shared" si="39"/>
        <v>0</v>
      </c>
      <c r="U191" s="34">
        <f t="shared" si="34"/>
        <v>0</v>
      </c>
      <c r="V191" s="34">
        <f t="shared" si="35"/>
        <v>0</v>
      </c>
      <c r="W191" s="34">
        <f t="shared" si="36"/>
        <v>0</v>
      </c>
      <c r="X191" s="48" t="s">
        <v>500</v>
      </c>
      <c r="Y191" s="48" t="s">
        <v>141</v>
      </c>
      <c r="Z191" s="49" t="s">
        <v>39</v>
      </c>
      <c r="AA191" s="49" t="s">
        <v>516</v>
      </c>
      <c r="AB191" s="33" t="s">
        <v>516</v>
      </c>
      <c r="AC191" s="33"/>
      <c r="AD191" s="50">
        <f t="shared" si="37"/>
        <v>0.52631578947368418</v>
      </c>
      <c r="AE191" s="51">
        <f t="shared" si="27"/>
        <v>0</v>
      </c>
      <c r="AF191" s="51">
        <f t="shared" si="28"/>
        <v>0</v>
      </c>
      <c r="AG191" s="52">
        <v>1243</v>
      </c>
      <c r="AH191" s="52">
        <v>1175</v>
      </c>
      <c r="AI191" s="52">
        <v>1</v>
      </c>
      <c r="AJ191" s="53" t="s">
        <v>517</v>
      </c>
    </row>
    <row r="192" spans="1:36" ht="15.75" hidden="1" x14ac:dyDescent="0.25">
      <c r="A192" s="33" t="s">
        <v>518</v>
      </c>
      <c r="B192" s="34">
        <v>1162</v>
      </c>
      <c r="C192" s="34"/>
      <c r="D192" s="35">
        <v>180</v>
      </c>
      <c r="E192" s="36" t="str">
        <f t="shared" si="29"/>
        <v/>
      </c>
      <c r="F192" s="37" t="str">
        <f t="shared" si="30"/>
        <v/>
      </c>
      <c r="G192" s="38">
        <f t="shared" si="31"/>
        <v>0</v>
      </c>
      <c r="H192" s="38">
        <f t="shared" si="31"/>
        <v>0</v>
      </c>
      <c r="I192" s="39">
        <v>108</v>
      </c>
      <c r="J192" s="40">
        <f t="shared" si="38"/>
        <v>0.6</v>
      </c>
      <c r="K192" s="41">
        <v>0</v>
      </c>
      <c r="L192" s="42">
        <v>0.93400000000000005</v>
      </c>
      <c r="M192" s="39">
        <f t="shared" si="32"/>
        <v>108</v>
      </c>
      <c r="N192" s="40">
        <f t="shared" si="33"/>
        <v>0.6</v>
      </c>
      <c r="O192" s="43"/>
      <c r="P192" s="44"/>
      <c r="Q192" s="45"/>
      <c r="R192" s="46"/>
      <c r="S192" s="47"/>
      <c r="T192" s="34">
        <f t="shared" si="39"/>
        <v>0</v>
      </c>
      <c r="U192" s="34">
        <f t="shared" si="34"/>
        <v>0</v>
      </c>
      <c r="V192" s="34">
        <f t="shared" si="35"/>
        <v>0</v>
      </c>
      <c r="W192" s="34">
        <f t="shared" si="36"/>
        <v>0</v>
      </c>
      <c r="X192" s="48" t="s">
        <v>500</v>
      </c>
      <c r="Y192" s="48" t="s">
        <v>141</v>
      </c>
      <c r="Z192" s="49" t="s">
        <v>47</v>
      </c>
      <c r="AA192" s="49" t="s">
        <v>516</v>
      </c>
      <c r="AB192" s="33" t="s">
        <v>516</v>
      </c>
      <c r="AC192" s="33"/>
      <c r="AD192" s="50">
        <f t="shared" si="37"/>
        <v>0.6</v>
      </c>
      <c r="AE192" s="51">
        <f t="shared" si="27"/>
        <v>0</v>
      </c>
      <c r="AF192" s="51">
        <f t="shared" si="28"/>
        <v>0</v>
      </c>
      <c r="AG192" s="52">
        <v>1216</v>
      </c>
      <c r="AH192" s="52">
        <v>1162</v>
      </c>
      <c r="AI192" s="52">
        <v>1</v>
      </c>
      <c r="AJ192" s="53" t="s">
        <v>519</v>
      </c>
    </row>
    <row r="193" spans="1:36" ht="15.75" hidden="1" x14ac:dyDescent="0.25">
      <c r="A193" s="33" t="s">
        <v>520</v>
      </c>
      <c r="B193" s="34">
        <v>1155</v>
      </c>
      <c r="C193" s="34"/>
      <c r="D193" s="35">
        <v>500</v>
      </c>
      <c r="E193" s="36" t="str">
        <f t="shared" si="29"/>
        <v/>
      </c>
      <c r="F193" s="37" t="str">
        <f t="shared" si="30"/>
        <v/>
      </c>
      <c r="G193" s="38">
        <f t="shared" si="31"/>
        <v>0</v>
      </c>
      <c r="H193" s="38">
        <f t="shared" si="31"/>
        <v>0</v>
      </c>
      <c r="I193" s="39">
        <v>301</v>
      </c>
      <c r="J193" s="40">
        <f t="shared" si="38"/>
        <v>0.60199999999999998</v>
      </c>
      <c r="K193" s="41">
        <v>-26</v>
      </c>
      <c r="L193" s="42">
        <v>1</v>
      </c>
      <c r="M193" s="39">
        <f t="shared" si="32"/>
        <v>301</v>
      </c>
      <c r="N193" s="40">
        <f t="shared" si="33"/>
        <v>0.60199999999999998</v>
      </c>
      <c r="O193" s="43"/>
      <c r="P193" s="44"/>
      <c r="Q193" s="45"/>
      <c r="R193" s="46"/>
      <c r="S193" s="47"/>
      <c r="T193" s="34">
        <f t="shared" si="39"/>
        <v>0</v>
      </c>
      <c r="U193" s="34">
        <f t="shared" si="34"/>
        <v>0</v>
      </c>
      <c r="V193" s="34">
        <f t="shared" si="35"/>
        <v>0</v>
      </c>
      <c r="W193" s="34">
        <f t="shared" si="36"/>
        <v>0</v>
      </c>
      <c r="X193" s="48" t="s">
        <v>500</v>
      </c>
      <c r="Y193" s="48" t="s">
        <v>141</v>
      </c>
      <c r="Z193" s="49" t="s">
        <v>47</v>
      </c>
      <c r="AA193" s="49" t="s">
        <v>516</v>
      </c>
      <c r="AB193" s="33" t="s">
        <v>516</v>
      </c>
      <c r="AC193" s="33"/>
      <c r="AD193" s="50">
        <f t="shared" si="37"/>
        <v>0.60199999999999998</v>
      </c>
      <c r="AE193" s="51">
        <f t="shared" si="27"/>
        <v>0</v>
      </c>
      <c r="AF193" s="51">
        <f t="shared" si="28"/>
        <v>0</v>
      </c>
      <c r="AG193" s="52">
        <v>1215</v>
      </c>
      <c r="AH193" s="52">
        <v>1155</v>
      </c>
      <c r="AI193" s="52">
        <v>1</v>
      </c>
      <c r="AJ193" s="53" t="s">
        <v>521</v>
      </c>
    </row>
    <row r="194" spans="1:36" ht="15.75" hidden="1" x14ac:dyDescent="0.25">
      <c r="A194" s="33" t="s">
        <v>522</v>
      </c>
      <c r="B194" s="34">
        <v>1176</v>
      </c>
      <c r="C194" s="34"/>
      <c r="D194" s="35">
        <v>125</v>
      </c>
      <c r="E194" s="36" t="str">
        <f t="shared" si="29"/>
        <v/>
      </c>
      <c r="F194" s="37" t="str">
        <f t="shared" si="30"/>
        <v/>
      </c>
      <c r="G194" s="38">
        <f t="shared" si="31"/>
        <v>0</v>
      </c>
      <c r="H194" s="38">
        <f t="shared" si="31"/>
        <v>0</v>
      </c>
      <c r="I194" s="39">
        <v>32</v>
      </c>
      <c r="J194" s="40">
        <f t="shared" si="38"/>
        <v>0.25600000000000001</v>
      </c>
      <c r="K194" s="41">
        <v>-4.4400000000000004</v>
      </c>
      <c r="L194" s="42">
        <v>1</v>
      </c>
      <c r="M194" s="39">
        <f t="shared" si="32"/>
        <v>32</v>
      </c>
      <c r="N194" s="40">
        <f t="shared" si="33"/>
        <v>0.25600000000000001</v>
      </c>
      <c r="O194" s="43"/>
      <c r="P194" s="44"/>
      <c r="Q194" s="45"/>
      <c r="R194" s="46"/>
      <c r="S194" s="47"/>
      <c r="T194" s="34">
        <f t="shared" si="39"/>
        <v>0</v>
      </c>
      <c r="U194" s="34">
        <f t="shared" si="34"/>
        <v>0</v>
      </c>
      <c r="V194" s="34">
        <f t="shared" si="35"/>
        <v>0</v>
      </c>
      <c r="W194" s="34">
        <f t="shared" si="36"/>
        <v>0</v>
      </c>
      <c r="X194" s="48" t="s">
        <v>500</v>
      </c>
      <c r="Y194" s="48" t="s">
        <v>141</v>
      </c>
      <c r="Z194" s="49" t="s">
        <v>47</v>
      </c>
      <c r="AA194" s="49" t="s">
        <v>516</v>
      </c>
      <c r="AB194" s="33" t="s">
        <v>516</v>
      </c>
      <c r="AC194" s="33"/>
      <c r="AD194" s="50">
        <f t="shared" si="37"/>
        <v>0.25600000000000001</v>
      </c>
      <c r="AE194" s="51">
        <f t="shared" si="27"/>
        <v>0</v>
      </c>
      <c r="AF194" s="51">
        <f t="shared" si="28"/>
        <v>0</v>
      </c>
      <c r="AG194" s="52">
        <v>1223</v>
      </c>
      <c r="AH194" s="52">
        <v>1176</v>
      </c>
      <c r="AI194" s="52">
        <v>1</v>
      </c>
      <c r="AJ194" s="53" t="s">
        <v>523</v>
      </c>
    </row>
    <row r="195" spans="1:36" ht="15.75" hidden="1" x14ac:dyDescent="0.25">
      <c r="A195" s="33" t="s">
        <v>524</v>
      </c>
      <c r="B195" s="34">
        <v>1166</v>
      </c>
      <c r="C195" s="34"/>
      <c r="D195" s="35">
        <v>129</v>
      </c>
      <c r="E195" s="36" t="str">
        <f t="shared" si="29"/>
        <v/>
      </c>
      <c r="F195" s="37" t="str">
        <f t="shared" si="30"/>
        <v/>
      </c>
      <c r="G195" s="38">
        <f t="shared" si="31"/>
        <v>0</v>
      </c>
      <c r="H195" s="38">
        <f t="shared" si="31"/>
        <v>0</v>
      </c>
      <c r="I195" s="39">
        <v>20</v>
      </c>
      <c r="J195" s="40">
        <f t="shared" si="38"/>
        <v>0.15503875968992248</v>
      </c>
      <c r="K195" s="41">
        <v>-1.27</v>
      </c>
      <c r="L195" s="42">
        <v>0.99</v>
      </c>
      <c r="M195" s="39">
        <f t="shared" si="32"/>
        <v>20</v>
      </c>
      <c r="N195" s="40">
        <f t="shared" si="33"/>
        <v>0.15503875968992248</v>
      </c>
      <c r="O195" s="43"/>
      <c r="P195" s="44"/>
      <c r="Q195" s="45"/>
      <c r="R195" s="46"/>
      <c r="S195" s="47"/>
      <c r="T195" s="34">
        <f t="shared" si="39"/>
        <v>0</v>
      </c>
      <c r="U195" s="34">
        <f t="shared" si="34"/>
        <v>0</v>
      </c>
      <c r="V195" s="34">
        <f t="shared" si="35"/>
        <v>0</v>
      </c>
      <c r="W195" s="34">
        <f t="shared" si="36"/>
        <v>0</v>
      </c>
      <c r="X195" s="48" t="s">
        <v>500</v>
      </c>
      <c r="Y195" s="48" t="s">
        <v>141</v>
      </c>
      <c r="Z195" s="49" t="s">
        <v>47</v>
      </c>
      <c r="AA195" s="49" t="s">
        <v>525</v>
      </c>
      <c r="AB195" s="33" t="s">
        <v>516</v>
      </c>
      <c r="AC195" s="33"/>
      <c r="AD195" s="50">
        <f t="shared" si="37"/>
        <v>0.15503875968992248</v>
      </c>
      <c r="AE195" s="51">
        <f t="shared" si="27"/>
        <v>0</v>
      </c>
      <c r="AF195" s="51">
        <f t="shared" si="28"/>
        <v>0</v>
      </c>
      <c r="AG195" s="52">
        <v>1154</v>
      </c>
      <c r="AH195" s="52">
        <v>1166</v>
      </c>
      <c r="AI195" s="52">
        <v>1</v>
      </c>
      <c r="AJ195" s="53" t="s">
        <v>526</v>
      </c>
    </row>
    <row r="196" spans="1:36" ht="15.75" hidden="1" x14ac:dyDescent="0.25">
      <c r="A196" s="33" t="s">
        <v>527</v>
      </c>
      <c r="B196" s="34">
        <v>1159</v>
      </c>
      <c r="C196" s="34"/>
      <c r="D196" s="35">
        <v>130</v>
      </c>
      <c r="E196" s="36" t="str">
        <f t="shared" si="29"/>
        <v/>
      </c>
      <c r="F196" s="37" t="str">
        <f t="shared" si="30"/>
        <v/>
      </c>
      <c r="G196" s="38">
        <f t="shared" si="31"/>
        <v>0</v>
      </c>
      <c r="H196" s="38">
        <f t="shared" si="31"/>
        <v>0</v>
      </c>
      <c r="I196" s="39">
        <v>20</v>
      </c>
      <c r="J196" s="40">
        <f t="shared" si="38"/>
        <v>0.15384615384615385</v>
      </c>
      <c r="K196" s="41">
        <v>-0.61499999999999999</v>
      </c>
      <c r="L196" s="42">
        <v>0.99</v>
      </c>
      <c r="M196" s="39">
        <f t="shared" si="32"/>
        <v>20</v>
      </c>
      <c r="N196" s="40">
        <f t="shared" si="33"/>
        <v>0.15384615384615385</v>
      </c>
      <c r="O196" s="43"/>
      <c r="P196" s="44"/>
      <c r="Q196" s="45"/>
      <c r="R196" s="46"/>
      <c r="S196" s="47"/>
      <c r="T196" s="34">
        <f t="shared" si="39"/>
        <v>0</v>
      </c>
      <c r="U196" s="34">
        <f t="shared" si="34"/>
        <v>0</v>
      </c>
      <c r="V196" s="34">
        <f t="shared" si="35"/>
        <v>0</v>
      </c>
      <c r="W196" s="34">
        <f t="shared" si="36"/>
        <v>0</v>
      </c>
      <c r="X196" s="48" t="s">
        <v>500</v>
      </c>
      <c r="Y196" s="48" t="s">
        <v>141</v>
      </c>
      <c r="Z196" s="49" t="s">
        <v>47</v>
      </c>
      <c r="AA196" s="49" t="s">
        <v>525</v>
      </c>
      <c r="AB196" s="33" t="s">
        <v>516</v>
      </c>
      <c r="AC196" s="33"/>
      <c r="AD196" s="50">
        <f t="shared" si="37"/>
        <v>0.15384615384615385</v>
      </c>
      <c r="AE196" s="51">
        <f t="shared" si="27"/>
        <v>0</v>
      </c>
      <c r="AF196" s="51">
        <f t="shared" si="28"/>
        <v>0</v>
      </c>
      <c r="AG196" s="52">
        <v>1161</v>
      </c>
      <c r="AH196" s="52">
        <v>1159</v>
      </c>
      <c r="AI196" s="52">
        <v>1</v>
      </c>
      <c r="AJ196" s="53" t="s">
        <v>528</v>
      </c>
    </row>
    <row r="197" spans="1:36" ht="15.75" hidden="1" x14ac:dyDescent="0.25">
      <c r="A197" s="33" t="s">
        <v>529</v>
      </c>
      <c r="B197" s="34">
        <v>1168</v>
      </c>
      <c r="C197" s="34"/>
      <c r="D197" s="35">
        <v>103</v>
      </c>
      <c r="E197" s="36" t="str">
        <f t="shared" si="29"/>
        <v/>
      </c>
      <c r="F197" s="37" t="str">
        <f t="shared" si="30"/>
        <v/>
      </c>
      <c r="G197" s="38">
        <f t="shared" si="31"/>
        <v>0</v>
      </c>
      <c r="H197" s="38">
        <f t="shared" si="31"/>
        <v>0</v>
      </c>
      <c r="I197" s="39">
        <v>16</v>
      </c>
      <c r="J197" s="40">
        <f t="shared" si="38"/>
        <v>0.1553398058252427</v>
      </c>
      <c r="K197" s="41">
        <v>-1.63</v>
      </c>
      <c r="L197" s="42">
        <v>0.99</v>
      </c>
      <c r="M197" s="39">
        <f t="shared" si="32"/>
        <v>16</v>
      </c>
      <c r="N197" s="40">
        <f t="shared" si="33"/>
        <v>0.1553398058252427</v>
      </c>
      <c r="O197" s="43"/>
      <c r="P197" s="44"/>
      <c r="Q197" s="45"/>
      <c r="R197" s="46"/>
      <c r="S197" s="47"/>
      <c r="T197" s="34">
        <f t="shared" si="39"/>
        <v>0</v>
      </c>
      <c r="U197" s="34">
        <f t="shared" si="34"/>
        <v>0</v>
      </c>
      <c r="V197" s="34">
        <f t="shared" si="35"/>
        <v>0</v>
      </c>
      <c r="W197" s="34">
        <f t="shared" si="36"/>
        <v>0</v>
      </c>
      <c r="X197" s="48" t="s">
        <v>500</v>
      </c>
      <c r="Y197" s="48" t="s">
        <v>141</v>
      </c>
      <c r="Z197" s="49" t="s">
        <v>47</v>
      </c>
      <c r="AA197" s="49" t="s">
        <v>525</v>
      </c>
      <c r="AB197" s="33" t="s">
        <v>516</v>
      </c>
      <c r="AC197" s="33"/>
      <c r="AD197" s="50">
        <f t="shared" si="37"/>
        <v>0.1553398058252427</v>
      </c>
      <c r="AE197" s="51">
        <f t="shared" ref="AE197:AE261" si="40">IFERROR(+D197/VLOOKUP(AB197,$A$386:$E$428,3,FALSE),0)</f>
        <v>0</v>
      </c>
      <c r="AF197" s="51">
        <f t="shared" ref="AF197:AF261" si="41">IFERROR(+I197/VLOOKUP(AB197,$A$386:$E$428,5,FALSE),0)</f>
        <v>0</v>
      </c>
      <c r="AG197" s="52">
        <v>1153</v>
      </c>
      <c r="AH197" s="52">
        <v>1168</v>
      </c>
      <c r="AI197" s="52">
        <v>1</v>
      </c>
      <c r="AJ197" s="53" t="s">
        <v>530</v>
      </c>
    </row>
    <row r="198" spans="1:36" ht="15.75" hidden="1" x14ac:dyDescent="0.25">
      <c r="A198" s="33" t="s">
        <v>531</v>
      </c>
      <c r="B198" s="34">
        <v>2051</v>
      </c>
      <c r="C198" s="34"/>
      <c r="D198" s="35">
        <v>21</v>
      </c>
      <c r="E198" s="36" t="str">
        <f t="shared" ref="E198:E261" si="42">IF(AS198="-",IF(AW198=0,"",AW198),"")</f>
        <v/>
      </c>
      <c r="F198" s="37" t="str">
        <f t="shared" ref="F198:F261" si="43">IF(AS198="-",AX198,"")</f>
        <v/>
      </c>
      <c r="G198" s="38">
        <f t="shared" si="31"/>
        <v>0</v>
      </c>
      <c r="H198" s="38">
        <f t="shared" si="31"/>
        <v>0</v>
      </c>
      <c r="I198" s="39">
        <v>5</v>
      </c>
      <c r="J198" s="40">
        <f t="shared" si="38"/>
        <v>0.23809523809523808</v>
      </c>
      <c r="K198" s="41">
        <v>3.7050000000000001</v>
      </c>
      <c r="L198" s="42">
        <v>0.99</v>
      </c>
      <c r="M198" s="39">
        <f t="shared" si="32"/>
        <v>5</v>
      </c>
      <c r="N198" s="40">
        <f t="shared" si="33"/>
        <v>0.23809523809523808</v>
      </c>
      <c r="O198" s="43"/>
      <c r="P198" s="44"/>
      <c r="Q198" s="45"/>
      <c r="R198" s="46"/>
      <c r="S198" s="47"/>
      <c r="T198" s="34">
        <f t="shared" si="39"/>
        <v>0</v>
      </c>
      <c r="U198" s="34">
        <f t="shared" si="34"/>
        <v>0</v>
      </c>
      <c r="V198" s="34">
        <f t="shared" si="35"/>
        <v>0</v>
      </c>
      <c r="W198" s="34">
        <f t="shared" si="36"/>
        <v>0</v>
      </c>
      <c r="X198" s="48" t="s">
        <v>500</v>
      </c>
      <c r="Y198" s="48" t="s">
        <v>141</v>
      </c>
      <c r="Z198" s="49" t="s">
        <v>47</v>
      </c>
      <c r="AA198" s="49" t="s">
        <v>241</v>
      </c>
      <c r="AB198" s="33" t="s">
        <v>516</v>
      </c>
      <c r="AC198" s="33"/>
      <c r="AD198" s="50">
        <f t="shared" si="37"/>
        <v>0.23809523809523808</v>
      </c>
      <c r="AE198" s="51">
        <f t="shared" si="40"/>
        <v>0</v>
      </c>
      <c r="AF198" s="51">
        <f t="shared" si="41"/>
        <v>0</v>
      </c>
      <c r="AG198" s="52">
        <v>2051</v>
      </c>
      <c r="AH198" s="52">
        <v>2062</v>
      </c>
      <c r="AI198" s="52">
        <v>1</v>
      </c>
      <c r="AJ198" s="53" t="s">
        <v>532</v>
      </c>
    </row>
    <row r="199" spans="1:36" ht="15.75" hidden="1" x14ac:dyDescent="0.25">
      <c r="A199" s="33" t="s">
        <v>533</v>
      </c>
      <c r="B199" s="34">
        <v>9194</v>
      </c>
      <c r="C199" s="34"/>
      <c r="D199" s="35">
        <v>21</v>
      </c>
      <c r="E199" s="36" t="str">
        <f t="shared" si="42"/>
        <v/>
      </c>
      <c r="F199" s="37" t="str">
        <f t="shared" si="43"/>
        <v/>
      </c>
      <c r="G199" s="38">
        <f t="shared" si="31"/>
        <v>0</v>
      </c>
      <c r="H199" s="38">
        <f t="shared" si="31"/>
        <v>0</v>
      </c>
      <c r="I199" s="39">
        <v>5</v>
      </c>
      <c r="J199" s="40">
        <f t="shared" si="38"/>
        <v>0.23809523809523808</v>
      </c>
      <c r="K199" s="41">
        <v>3.5539999999999998</v>
      </c>
      <c r="L199" s="42">
        <v>1</v>
      </c>
      <c r="M199" s="39">
        <f t="shared" si="32"/>
        <v>5</v>
      </c>
      <c r="N199" s="40">
        <f t="shared" si="33"/>
        <v>0.23809523809523808</v>
      </c>
      <c r="O199" s="43"/>
      <c r="P199" s="44"/>
      <c r="Q199" s="45"/>
      <c r="R199" s="46"/>
      <c r="S199" s="47"/>
      <c r="T199" s="34">
        <f t="shared" si="39"/>
        <v>0</v>
      </c>
      <c r="U199" s="34">
        <f t="shared" si="34"/>
        <v>0</v>
      </c>
      <c r="V199" s="34">
        <f t="shared" si="35"/>
        <v>0</v>
      </c>
      <c r="W199" s="34">
        <f t="shared" si="36"/>
        <v>0</v>
      </c>
      <c r="X199" s="48" t="s">
        <v>500</v>
      </c>
      <c r="Y199" s="48" t="s">
        <v>141</v>
      </c>
      <c r="Z199" s="49" t="s">
        <v>47</v>
      </c>
      <c r="AA199" s="49" t="s">
        <v>241</v>
      </c>
      <c r="AB199" s="33" t="s">
        <v>516</v>
      </c>
      <c r="AC199" s="33"/>
      <c r="AD199" s="50">
        <f t="shared" si="37"/>
        <v>0.23809523809523808</v>
      </c>
      <c r="AE199" s="51">
        <f t="shared" si="40"/>
        <v>0</v>
      </c>
      <c r="AF199" s="51">
        <f t="shared" si="41"/>
        <v>0</v>
      </c>
      <c r="AG199" s="52">
        <v>9194</v>
      </c>
      <c r="AH199" s="52">
        <v>2060</v>
      </c>
      <c r="AI199" s="52">
        <v>2</v>
      </c>
      <c r="AJ199" s="53" t="s">
        <v>534</v>
      </c>
    </row>
    <row r="200" spans="1:36" ht="15.75" hidden="1" x14ac:dyDescent="0.25">
      <c r="A200" s="33" t="s">
        <v>535</v>
      </c>
      <c r="B200" s="34">
        <v>2863</v>
      </c>
      <c r="C200" s="34"/>
      <c r="D200" s="35">
        <v>191</v>
      </c>
      <c r="E200" s="36" t="str">
        <f t="shared" si="42"/>
        <v/>
      </c>
      <c r="F200" s="37" t="str">
        <f t="shared" si="43"/>
        <v/>
      </c>
      <c r="G200" s="38">
        <f t="shared" si="31"/>
        <v>0</v>
      </c>
      <c r="H200" s="38">
        <f t="shared" si="31"/>
        <v>0</v>
      </c>
      <c r="I200" s="39">
        <v>46</v>
      </c>
      <c r="J200" s="40">
        <f t="shared" si="38"/>
        <v>0.24083769633507854</v>
      </c>
      <c r="K200" s="41">
        <v>-6.04</v>
      </c>
      <c r="L200" s="42">
        <v>0.98299999999999998</v>
      </c>
      <c r="M200" s="39">
        <f t="shared" si="32"/>
        <v>46</v>
      </c>
      <c r="N200" s="40">
        <f t="shared" si="33"/>
        <v>0.24083769633507854</v>
      </c>
      <c r="O200" s="43"/>
      <c r="P200" s="44"/>
      <c r="Q200" s="45"/>
      <c r="R200" s="46"/>
      <c r="S200" s="47"/>
      <c r="T200" s="34">
        <f t="shared" si="39"/>
        <v>0</v>
      </c>
      <c r="U200" s="34">
        <f t="shared" si="34"/>
        <v>0</v>
      </c>
      <c r="V200" s="34">
        <f t="shared" si="35"/>
        <v>0</v>
      </c>
      <c r="W200" s="34">
        <f t="shared" si="36"/>
        <v>0</v>
      </c>
      <c r="X200" s="48" t="s">
        <v>484</v>
      </c>
      <c r="Y200" s="48" t="s">
        <v>141</v>
      </c>
      <c r="Z200" s="49" t="s">
        <v>47</v>
      </c>
      <c r="AA200" s="49" t="s">
        <v>536</v>
      </c>
      <c r="AB200" s="33" t="s">
        <v>536</v>
      </c>
      <c r="AC200" s="33"/>
      <c r="AD200" s="50">
        <f t="shared" si="37"/>
        <v>0.24083769633507854</v>
      </c>
      <c r="AE200" s="51">
        <f t="shared" si="40"/>
        <v>0</v>
      </c>
      <c r="AF200" s="51">
        <f t="shared" si="41"/>
        <v>0</v>
      </c>
      <c r="AG200" s="52">
        <v>2864</v>
      </c>
      <c r="AH200" s="52">
        <v>2863</v>
      </c>
      <c r="AI200" s="52">
        <v>1</v>
      </c>
      <c r="AJ200" s="53" t="s">
        <v>537</v>
      </c>
    </row>
    <row r="201" spans="1:36" ht="15.75" hidden="1" x14ac:dyDescent="0.25">
      <c r="A201" s="33" t="s">
        <v>538</v>
      </c>
      <c r="B201" s="34">
        <v>804</v>
      </c>
      <c r="C201" s="34"/>
      <c r="D201" s="35">
        <v>260</v>
      </c>
      <c r="E201" s="36" t="str">
        <f t="shared" si="42"/>
        <v/>
      </c>
      <c r="F201" s="37" t="str">
        <f t="shared" si="43"/>
        <v/>
      </c>
      <c r="G201" s="38">
        <f t="shared" ref="G201:H264" si="44">BD201</f>
        <v>0</v>
      </c>
      <c r="H201" s="38">
        <f t="shared" si="44"/>
        <v>0</v>
      </c>
      <c r="I201" s="39">
        <v>61</v>
      </c>
      <c r="J201" s="40">
        <f t="shared" si="38"/>
        <v>0.23461538461538461</v>
      </c>
      <c r="K201" s="41">
        <v>-40.200000000000003</v>
      </c>
      <c r="L201" s="42">
        <v>0.96699999999999997</v>
      </c>
      <c r="M201" s="39">
        <f t="shared" ref="M201:M264" si="45">IF(O201&lt;&gt;"",ROUND(O201,0),IF(P201&lt;&gt;"",ROUND(P201*D201,0),I201))</f>
        <v>61</v>
      </c>
      <c r="N201" s="40">
        <f t="shared" ref="N201:N264" si="46">IF(M201&lt;&gt;"",+M201/$D201,"-")</f>
        <v>0.23461538461538461</v>
      </c>
      <c r="O201" s="43"/>
      <c r="P201" s="44"/>
      <c r="Q201" s="45"/>
      <c r="R201" s="46"/>
      <c r="S201" s="47"/>
      <c r="T201" s="34">
        <f t="shared" si="39"/>
        <v>0</v>
      </c>
      <c r="U201" s="34">
        <f t="shared" ref="U201:U264" si="47">AN201</f>
        <v>0</v>
      </c>
      <c r="V201" s="34">
        <f t="shared" ref="V201:V264" si="48">IF(AND(ISBLANK(O201),ISBLANK(P201),ISBLANK(Q201)),AP201,AO201)</f>
        <v>0</v>
      </c>
      <c r="W201" s="34">
        <f t="shared" ref="W201:W264" si="49">AM201</f>
        <v>0</v>
      </c>
      <c r="X201" s="48" t="s">
        <v>155</v>
      </c>
      <c r="Y201" s="48" t="s">
        <v>141</v>
      </c>
      <c r="Z201" s="49" t="s">
        <v>39</v>
      </c>
      <c r="AA201" s="49" t="s">
        <v>539</v>
      </c>
      <c r="AB201" s="33" t="s">
        <v>539</v>
      </c>
      <c r="AC201" s="33"/>
      <c r="AD201" s="50">
        <f t="shared" ref="AD201:AD264" si="50">(I201/D201)</f>
        <v>0.23461538461538461</v>
      </c>
      <c r="AE201" s="51">
        <f t="shared" si="40"/>
        <v>0</v>
      </c>
      <c r="AF201" s="51">
        <f t="shared" si="41"/>
        <v>0</v>
      </c>
      <c r="AG201" s="52">
        <v>817</v>
      </c>
      <c r="AH201" s="52">
        <v>804</v>
      </c>
      <c r="AI201" s="52">
        <v>1</v>
      </c>
      <c r="AJ201" s="53" t="s">
        <v>540</v>
      </c>
    </row>
    <row r="202" spans="1:36" ht="15.75" hidden="1" x14ac:dyDescent="0.25">
      <c r="A202" s="33" t="s">
        <v>541</v>
      </c>
      <c r="B202" s="34">
        <v>11</v>
      </c>
      <c r="C202" s="34"/>
      <c r="D202" s="35">
        <v>1350</v>
      </c>
      <c r="E202" s="36" t="str">
        <f t="shared" si="42"/>
        <v/>
      </c>
      <c r="F202" s="37" t="str">
        <f t="shared" si="43"/>
        <v/>
      </c>
      <c r="G202" s="38">
        <f t="shared" si="44"/>
        <v>0</v>
      </c>
      <c r="H202" s="38">
        <f t="shared" si="44"/>
        <v>0</v>
      </c>
      <c r="I202" s="39">
        <v>1082</v>
      </c>
      <c r="J202" s="116">
        <f t="shared" si="38"/>
        <v>0.80148148148148146</v>
      </c>
      <c r="K202" s="117">
        <v>523</v>
      </c>
      <c r="L202" s="118">
        <v>1</v>
      </c>
      <c r="M202" s="39">
        <f t="shared" si="45"/>
        <v>1082</v>
      </c>
      <c r="N202" s="116">
        <f t="shared" si="46"/>
        <v>0.80148148148148146</v>
      </c>
      <c r="O202" s="43"/>
      <c r="P202" s="119"/>
      <c r="Q202" s="120"/>
      <c r="R202" s="121"/>
      <c r="S202" s="122"/>
      <c r="T202" s="34">
        <f t="shared" si="39"/>
        <v>0</v>
      </c>
      <c r="U202" s="34">
        <f t="shared" si="47"/>
        <v>0</v>
      </c>
      <c r="V202" s="34">
        <f t="shared" si="48"/>
        <v>0</v>
      </c>
      <c r="W202" s="34">
        <f t="shared" si="49"/>
        <v>0</v>
      </c>
      <c r="X202" s="48" t="s">
        <v>229</v>
      </c>
      <c r="Y202" s="48" t="s">
        <v>38</v>
      </c>
      <c r="Z202" s="49" t="s">
        <v>542</v>
      </c>
      <c r="AA202" s="49"/>
      <c r="AB202" s="33" t="s">
        <v>543</v>
      </c>
      <c r="AC202" s="33"/>
      <c r="AD202" s="50">
        <f t="shared" si="50"/>
        <v>0.80148148148148146</v>
      </c>
      <c r="AE202" s="51">
        <f t="shared" si="40"/>
        <v>0</v>
      </c>
      <c r="AF202" s="51">
        <f t="shared" si="41"/>
        <v>0</v>
      </c>
      <c r="AG202" s="52">
        <v>105</v>
      </c>
      <c r="AH202" s="52">
        <v>11</v>
      </c>
      <c r="AI202" s="52">
        <v>1</v>
      </c>
      <c r="AJ202" s="53" t="s">
        <v>544</v>
      </c>
    </row>
    <row r="203" spans="1:36" ht="15.75" hidden="1" x14ac:dyDescent="0.25">
      <c r="A203" s="33" t="s">
        <v>545</v>
      </c>
      <c r="B203" s="34">
        <v>10</v>
      </c>
      <c r="C203" s="34"/>
      <c r="D203" s="35">
        <v>657</v>
      </c>
      <c r="E203" s="36" t="str">
        <f t="shared" si="42"/>
        <v/>
      </c>
      <c r="F203" s="37" t="str">
        <f t="shared" si="43"/>
        <v/>
      </c>
      <c r="G203" s="38">
        <f t="shared" si="44"/>
        <v>0</v>
      </c>
      <c r="H203" s="38">
        <f t="shared" si="44"/>
        <v>0</v>
      </c>
      <c r="I203" s="39">
        <v>520</v>
      </c>
      <c r="J203" s="116">
        <f t="shared" ref="J203:J266" si="51">IF(I203&lt;&gt;"",+I203/$D203,"-")</f>
        <v>0.79147640791476404</v>
      </c>
      <c r="K203" s="117">
        <v>177</v>
      </c>
      <c r="L203" s="118">
        <v>1</v>
      </c>
      <c r="M203" s="39">
        <f t="shared" si="45"/>
        <v>520</v>
      </c>
      <c r="N203" s="116">
        <f t="shared" si="46"/>
        <v>0.79147640791476404</v>
      </c>
      <c r="O203" s="43"/>
      <c r="P203" s="119"/>
      <c r="Q203" s="120"/>
      <c r="R203" s="121"/>
      <c r="S203" s="122"/>
      <c r="T203" s="34">
        <f t="shared" si="39"/>
        <v>0</v>
      </c>
      <c r="U203" s="34">
        <f t="shared" si="47"/>
        <v>0</v>
      </c>
      <c r="V203" s="34">
        <f t="shared" si="48"/>
        <v>0</v>
      </c>
      <c r="W203" s="34">
        <f t="shared" si="49"/>
        <v>0</v>
      </c>
      <c r="X203" s="48" t="s">
        <v>229</v>
      </c>
      <c r="Y203" s="48" t="s">
        <v>38</v>
      </c>
      <c r="Z203" s="49" t="s">
        <v>542</v>
      </c>
      <c r="AA203" s="49"/>
      <c r="AB203" s="33" t="s">
        <v>543</v>
      </c>
      <c r="AC203" s="33"/>
      <c r="AD203" s="50">
        <f t="shared" si="50"/>
        <v>0.79147640791476404</v>
      </c>
      <c r="AE203" s="51">
        <f t="shared" si="40"/>
        <v>0</v>
      </c>
      <c r="AF203" s="51">
        <f t="shared" si="41"/>
        <v>0</v>
      </c>
      <c r="AG203" s="52">
        <v>105</v>
      </c>
      <c r="AH203" s="52">
        <v>10</v>
      </c>
      <c r="AI203" s="52">
        <v>1</v>
      </c>
      <c r="AJ203" s="53" t="s">
        <v>546</v>
      </c>
    </row>
    <row r="204" spans="1:36" ht="15.75" hidden="1" x14ac:dyDescent="0.25">
      <c r="A204" s="33" t="s">
        <v>547</v>
      </c>
      <c r="B204" s="34">
        <v>44329</v>
      </c>
      <c r="C204" s="34"/>
      <c r="D204" s="35">
        <v>566</v>
      </c>
      <c r="E204" s="36" t="str">
        <f t="shared" si="42"/>
        <v/>
      </c>
      <c r="F204" s="37" t="str">
        <f t="shared" si="43"/>
        <v/>
      </c>
      <c r="G204" s="38">
        <f t="shared" si="44"/>
        <v>0</v>
      </c>
      <c r="H204" s="38">
        <f t="shared" si="44"/>
        <v>0</v>
      </c>
      <c r="I204" s="39">
        <v>420</v>
      </c>
      <c r="J204" s="116">
        <f t="shared" si="51"/>
        <v>0.74204946996466437</v>
      </c>
      <c r="K204" s="117">
        <v>36.869999999999997</v>
      </c>
      <c r="L204" s="118">
        <v>1.0900000000000001</v>
      </c>
      <c r="M204" s="39">
        <f t="shared" si="45"/>
        <v>420</v>
      </c>
      <c r="N204" s="116">
        <f t="shared" si="46"/>
        <v>0.74204946996466437</v>
      </c>
      <c r="O204" s="43"/>
      <c r="P204" s="119"/>
      <c r="Q204" s="120"/>
      <c r="R204" s="121"/>
      <c r="S204" s="122"/>
      <c r="T204" s="34">
        <f t="shared" si="39"/>
        <v>0</v>
      </c>
      <c r="U204" s="34">
        <f t="shared" si="47"/>
        <v>0</v>
      </c>
      <c r="V204" s="34">
        <f t="shared" si="48"/>
        <v>0</v>
      </c>
      <c r="W204" s="34">
        <f t="shared" si="49"/>
        <v>0</v>
      </c>
      <c r="X204" s="48" t="s">
        <v>229</v>
      </c>
      <c r="Y204" s="48" t="s">
        <v>38</v>
      </c>
      <c r="Z204" s="49" t="s">
        <v>548</v>
      </c>
      <c r="AA204" s="49"/>
      <c r="AB204" s="33" t="s">
        <v>543</v>
      </c>
      <c r="AC204" s="33"/>
      <c r="AD204" s="50">
        <f t="shared" si="50"/>
        <v>0.74204946996466437</v>
      </c>
      <c r="AE204" s="51">
        <f t="shared" si="40"/>
        <v>0</v>
      </c>
      <c r="AF204" s="51">
        <f t="shared" si="41"/>
        <v>0</v>
      </c>
      <c r="AG204" s="52">
        <v>44330</v>
      </c>
      <c r="AH204" s="52">
        <v>44329</v>
      </c>
      <c r="AI204" s="52">
        <v>1</v>
      </c>
      <c r="AJ204" s="53" t="s">
        <v>549</v>
      </c>
    </row>
    <row r="205" spans="1:36" ht="15.75" hidden="1" x14ac:dyDescent="0.25">
      <c r="A205" s="33" t="s">
        <v>550</v>
      </c>
      <c r="B205" s="34">
        <v>9627</v>
      </c>
      <c r="C205" s="34"/>
      <c r="D205" s="35">
        <v>344</v>
      </c>
      <c r="E205" s="36" t="str">
        <f t="shared" si="42"/>
        <v/>
      </c>
      <c r="F205" s="37" t="str">
        <f t="shared" si="43"/>
        <v/>
      </c>
      <c r="G205" s="38">
        <f t="shared" si="44"/>
        <v>0</v>
      </c>
      <c r="H205" s="38">
        <f t="shared" si="44"/>
        <v>0</v>
      </c>
      <c r="I205" s="39">
        <v>0</v>
      </c>
      <c r="J205" s="116">
        <f t="shared" si="51"/>
        <v>0</v>
      </c>
      <c r="K205" s="117">
        <v>0</v>
      </c>
      <c r="L205" s="118">
        <v>0.997</v>
      </c>
      <c r="M205" s="39">
        <f t="shared" si="45"/>
        <v>0</v>
      </c>
      <c r="N205" s="116">
        <f t="shared" si="46"/>
        <v>0</v>
      </c>
      <c r="O205" s="43"/>
      <c r="P205" s="119"/>
      <c r="Q205" s="120"/>
      <c r="R205" s="121"/>
      <c r="S205" s="122"/>
      <c r="T205" s="34">
        <f t="shared" si="39"/>
        <v>0</v>
      </c>
      <c r="U205" s="34">
        <f t="shared" si="47"/>
        <v>0</v>
      </c>
      <c r="V205" s="34">
        <f t="shared" si="48"/>
        <v>0</v>
      </c>
      <c r="W205" s="34">
        <f t="shared" si="49"/>
        <v>0</v>
      </c>
      <c r="X205" s="48" t="s">
        <v>229</v>
      </c>
      <c r="Y205" s="48" t="s">
        <v>38</v>
      </c>
      <c r="Z205" s="49" t="s">
        <v>548</v>
      </c>
      <c r="AA205" s="49"/>
      <c r="AB205" s="33" t="s">
        <v>543</v>
      </c>
      <c r="AC205" s="33"/>
      <c r="AD205" s="50">
        <f t="shared" si="50"/>
        <v>0</v>
      </c>
      <c r="AE205" s="51">
        <f t="shared" si="40"/>
        <v>0</v>
      </c>
      <c r="AF205" s="51">
        <f t="shared" si="41"/>
        <v>0</v>
      </c>
      <c r="AG205" s="52">
        <v>9626</v>
      </c>
      <c r="AH205" s="52">
        <v>9627</v>
      </c>
      <c r="AI205" s="52">
        <v>1</v>
      </c>
      <c r="AJ205" s="53" t="s">
        <v>551</v>
      </c>
    </row>
    <row r="206" spans="1:36" ht="15.75" hidden="1" x14ac:dyDescent="0.25">
      <c r="A206" s="33" t="s">
        <v>552</v>
      </c>
      <c r="B206" s="34">
        <v>9628</v>
      </c>
      <c r="C206" s="34"/>
      <c r="D206" s="35">
        <v>186</v>
      </c>
      <c r="E206" s="36" t="str">
        <f t="shared" si="42"/>
        <v/>
      </c>
      <c r="F206" s="37" t="str">
        <f t="shared" si="43"/>
        <v/>
      </c>
      <c r="G206" s="38">
        <f t="shared" si="44"/>
        <v>0</v>
      </c>
      <c r="H206" s="38">
        <f t="shared" si="44"/>
        <v>0</v>
      </c>
      <c r="I206" s="39">
        <v>0</v>
      </c>
      <c r="J206" s="116">
        <f t="shared" si="51"/>
        <v>0</v>
      </c>
      <c r="K206" s="117">
        <v>0</v>
      </c>
      <c r="L206" s="118">
        <v>0.997</v>
      </c>
      <c r="M206" s="39">
        <f t="shared" si="45"/>
        <v>0</v>
      </c>
      <c r="N206" s="116">
        <f t="shared" si="46"/>
        <v>0</v>
      </c>
      <c r="O206" s="43"/>
      <c r="P206" s="119"/>
      <c r="Q206" s="120"/>
      <c r="R206" s="121"/>
      <c r="S206" s="122"/>
      <c r="T206" s="34">
        <f t="shared" si="39"/>
        <v>0</v>
      </c>
      <c r="U206" s="34">
        <f t="shared" si="47"/>
        <v>0</v>
      </c>
      <c r="V206" s="34">
        <f t="shared" si="48"/>
        <v>0</v>
      </c>
      <c r="W206" s="34">
        <f t="shared" si="49"/>
        <v>0</v>
      </c>
      <c r="X206" s="48" t="s">
        <v>229</v>
      </c>
      <c r="Y206" s="48" t="s">
        <v>38</v>
      </c>
      <c r="Z206" s="49" t="s">
        <v>548</v>
      </c>
      <c r="AA206" s="49"/>
      <c r="AB206" s="33" t="s">
        <v>543</v>
      </c>
      <c r="AC206" s="33"/>
      <c r="AD206" s="50">
        <f t="shared" si="50"/>
        <v>0</v>
      </c>
      <c r="AE206" s="51">
        <f t="shared" si="40"/>
        <v>0</v>
      </c>
      <c r="AF206" s="51">
        <f t="shared" si="41"/>
        <v>0</v>
      </c>
      <c r="AG206" s="52">
        <v>9626</v>
      </c>
      <c r="AH206" s="52">
        <v>9628</v>
      </c>
      <c r="AI206" s="52">
        <v>1</v>
      </c>
      <c r="AJ206" s="53" t="s">
        <v>553</v>
      </c>
    </row>
    <row r="207" spans="1:36" ht="15.75" hidden="1" x14ac:dyDescent="0.25">
      <c r="A207" s="33" t="s">
        <v>554</v>
      </c>
      <c r="B207" s="34">
        <v>3962</v>
      </c>
      <c r="C207" s="34"/>
      <c r="D207" s="35">
        <v>570</v>
      </c>
      <c r="E207" s="36" t="str">
        <f t="shared" si="42"/>
        <v/>
      </c>
      <c r="F207" s="37" t="str">
        <f t="shared" si="43"/>
        <v/>
      </c>
      <c r="G207" s="38">
        <f t="shared" si="44"/>
        <v>0</v>
      </c>
      <c r="H207" s="38">
        <f t="shared" si="44"/>
        <v>0</v>
      </c>
      <c r="I207" s="39">
        <v>0</v>
      </c>
      <c r="J207" s="116">
        <f t="shared" si="51"/>
        <v>0</v>
      </c>
      <c r="K207" s="117">
        <v>0</v>
      </c>
      <c r="L207" s="118">
        <v>1.02</v>
      </c>
      <c r="M207" s="39">
        <f t="shared" si="45"/>
        <v>0</v>
      </c>
      <c r="N207" s="116">
        <f t="shared" si="46"/>
        <v>0</v>
      </c>
      <c r="O207" s="43"/>
      <c r="P207" s="119"/>
      <c r="Q207" s="120"/>
      <c r="R207" s="121"/>
      <c r="S207" s="122"/>
      <c r="T207" s="34">
        <f t="shared" si="39"/>
        <v>0</v>
      </c>
      <c r="U207" s="34">
        <f t="shared" si="47"/>
        <v>0</v>
      </c>
      <c r="V207" s="34">
        <f t="shared" si="48"/>
        <v>0</v>
      </c>
      <c r="W207" s="34">
        <f t="shared" si="49"/>
        <v>0</v>
      </c>
      <c r="X207" s="48" t="s">
        <v>229</v>
      </c>
      <c r="Y207" s="48" t="s">
        <v>38</v>
      </c>
      <c r="Z207" s="49" t="s">
        <v>548</v>
      </c>
      <c r="AA207" s="49"/>
      <c r="AB207" s="33" t="s">
        <v>543</v>
      </c>
      <c r="AC207" s="33"/>
      <c r="AD207" s="50">
        <f t="shared" si="50"/>
        <v>0</v>
      </c>
      <c r="AE207" s="51">
        <f t="shared" si="40"/>
        <v>0</v>
      </c>
      <c r="AF207" s="51">
        <f t="shared" si="41"/>
        <v>0</v>
      </c>
      <c r="AG207" s="52">
        <v>44307</v>
      </c>
      <c r="AH207" s="52">
        <v>3962</v>
      </c>
      <c r="AI207" s="52">
        <v>1</v>
      </c>
      <c r="AJ207" s="53" t="s">
        <v>555</v>
      </c>
    </row>
    <row r="208" spans="1:36" ht="15.75" hidden="1" x14ac:dyDescent="0.25">
      <c r="A208" s="33" t="s">
        <v>556</v>
      </c>
      <c r="B208" s="34">
        <v>3963</v>
      </c>
      <c r="C208" s="34"/>
      <c r="D208" s="35">
        <v>291</v>
      </c>
      <c r="E208" s="36" t="str">
        <f t="shared" si="42"/>
        <v/>
      </c>
      <c r="F208" s="37" t="str">
        <f t="shared" si="43"/>
        <v/>
      </c>
      <c r="G208" s="38">
        <f t="shared" si="44"/>
        <v>0</v>
      </c>
      <c r="H208" s="38">
        <f t="shared" si="44"/>
        <v>0</v>
      </c>
      <c r="I208" s="39">
        <v>0</v>
      </c>
      <c r="J208" s="116">
        <f t="shared" si="51"/>
        <v>0</v>
      </c>
      <c r="K208" s="117">
        <v>0</v>
      </c>
      <c r="L208" s="118">
        <v>1.02</v>
      </c>
      <c r="M208" s="39">
        <f t="shared" si="45"/>
        <v>0</v>
      </c>
      <c r="N208" s="116">
        <f t="shared" si="46"/>
        <v>0</v>
      </c>
      <c r="O208" s="43"/>
      <c r="P208" s="119"/>
      <c r="Q208" s="120"/>
      <c r="R208" s="121"/>
      <c r="S208" s="122"/>
      <c r="T208" s="34">
        <f t="shared" si="39"/>
        <v>0</v>
      </c>
      <c r="U208" s="34">
        <f t="shared" si="47"/>
        <v>0</v>
      </c>
      <c r="V208" s="34">
        <f t="shared" si="48"/>
        <v>0</v>
      </c>
      <c r="W208" s="34">
        <f t="shared" si="49"/>
        <v>0</v>
      </c>
      <c r="X208" s="48" t="s">
        <v>229</v>
      </c>
      <c r="Y208" s="48" t="s">
        <v>38</v>
      </c>
      <c r="Z208" s="49" t="s">
        <v>548</v>
      </c>
      <c r="AA208" s="49"/>
      <c r="AB208" s="33" t="s">
        <v>543</v>
      </c>
      <c r="AC208" s="33"/>
      <c r="AD208" s="50">
        <f t="shared" si="50"/>
        <v>0</v>
      </c>
      <c r="AE208" s="51">
        <f t="shared" si="40"/>
        <v>0</v>
      </c>
      <c r="AF208" s="51">
        <f t="shared" si="41"/>
        <v>0</v>
      </c>
      <c r="AG208" s="52">
        <v>44307</v>
      </c>
      <c r="AH208" s="52">
        <v>3963</v>
      </c>
      <c r="AI208" s="52">
        <v>1</v>
      </c>
      <c r="AJ208" s="53" t="s">
        <v>557</v>
      </c>
    </row>
    <row r="209" spans="1:36" ht="15.75" hidden="1" x14ac:dyDescent="0.25">
      <c r="A209" s="33" t="s">
        <v>558</v>
      </c>
      <c r="B209" s="34">
        <v>32</v>
      </c>
      <c r="C209" s="34"/>
      <c r="D209" s="35">
        <v>350</v>
      </c>
      <c r="E209" s="36" t="str">
        <f t="shared" si="42"/>
        <v/>
      </c>
      <c r="F209" s="37" t="str">
        <f t="shared" si="43"/>
        <v/>
      </c>
      <c r="G209" s="38">
        <f t="shared" si="44"/>
        <v>0</v>
      </c>
      <c r="H209" s="38">
        <f t="shared" si="44"/>
        <v>0</v>
      </c>
      <c r="I209" s="39">
        <v>0</v>
      </c>
      <c r="J209" s="116">
        <f t="shared" si="51"/>
        <v>0</v>
      </c>
      <c r="K209" s="117">
        <v>0</v>
      </c>
      <c r="L209" s="118">
        <v>0.999</v>
      </c>
      <c r="M209" s="39">
        <f t="shared" si="45"/>
        <v>0</v>
      </c>
      <c r="N209" s="116">
        <f t="shared" si="46"/>
        <v>0</v>
      </c>
      <c r="O209" s="43"/>
      <c r="P209" s="119"/>
      <c r="Q209" s="120"/>
      <c r="R209" s="121"/>
      <c r="S209" s="122"/>
      <c r="T209" s="34">
        <f t="shared" si="39"/>
        <v>0</v>
      </c>
      <c r="U209" s="34">
        <f t="shared" si="47"/>
        <v>0</v>
      </c>
      <c r="V209" s="34">
        <f t="shared" si="48"/>
        <v>0</v>
      </c>
      <c r="W209" s="34">
        <f t="shared" si="49"/>
        <v>0</v>
      </c>
      <c r="X209" s="48" t="s">
        <v>229</v>
      </c>
      <c r="Y209" s="48" t="s">
        <v>38</v>
      </c>
      <c r="Z209" s="49" t="s">
        <v>559</v>
      </c>
      <c r="AA209" s="49"/>
      <c r="AB209" s="33" t="s">
        <v>543</v>
      </c>
      <c r="AC209" s="33"/>
      <c r="AD209" s="50">
        <f t="shared" si="50"/>
        <v>0</v>
      </c>
      <c r="AE209" s="51">
        <f t="shared" si="40"/>
        <v>0</v>
      </c>
      <c r="AF209" s="51">
        <f t="shared" si="41"/>
        <v>0</v>
      </c>
      <c r="AG209" s="52">
        <v>184</v>
      </c>
      <c r="AH209" s="52">
        <v>32</v>
      </c>
      <c r="AI209" s="52">
        <v>1</v>
      </c>
      <c r="AJ209" s="53" t="s">
        <v>560</v>
      </c>
    </row>
    <row r="210" spans="1:36" ht="15.75" hidden="1" x14ac:dyDescent="0.25">
      <c r="A210" s="33" t="s">
        <v>561</v>
      </c>
      <c r="B210" s="34">
        <v>46019</v>
      </c>
      <c r="C210" s="34"/>
      <c r="D210" s="35">
        <v>150</v>
      </c>
      <c r="E210" s="36" t="str">
        <f t="shared" si="42"/>
        <v/>
      </c>
      <c r="F210" s="37" t="str">
        <f t="shared" si="43"/>
        <v/>
      </c>
      <c r="G210" s="38">
        <f t="shared" si="44"/>
        <v>0</v>
      </c>
      <c r="H210" s="38">
        <f t="shared" si="44"/>
        <v>0</v>
      </c>
      <c r="I210" s="39">
        <v>0</v>
      </c>
      <c r="J210" s="116">
        <f t="shared" si="51"/>
        <v>0</v>
      </c>
      <c r="K210" s="117">
        <v>0</v>
      </c>
      <c r="L210" s="118">
        <v>0.999</v>
      </c>
      <c r="M210" s="39">
        <f>IF(O210&lt;&gt;"",ROUND(O210,0),IF(P210&lt;&gt;"",ROUND(P210*D210,0),I210))</f>
        <v>0</v>
      </c>
      <c r="N210" s="116">
        <f t="shared" si="46"/>
        <v>0</v>
      </c>
      <c r="O210" s="43"/>
      <c r="P210" s="119"/>
      <c r="Q210" s="120"/>
      <c r="R210" s="121"/>
      <c r="S210" s="122"/>
      <c r="T210" s="34">
        <f t="shared" si="39"/>
        <v>0</v>
      </c>
      <c r="U210" s="34">
        <f t="shared" si="47"/>
        <v>0</v>
      </c>
      <c r="V210" s="34">
        <f>IF(AND(ISBLANK(O210),ISBLANK(P210),ISBLANK(Q210)),AP210,AO210)</f>
        <v>0</v>
      </c>
      <c r="W210" s="34">
        <f t="shared" si="49"/>
        <v>0</v>
      </c>
      <c r="X210" s="48" t="s">
        <v>229</v>
      </c>
      <c r="Y210" s="48" t="s">
        <v>38</v>
      </c>
      <c r="Z210" s="49" t="s">
        <v>559</v>
      </c>
      <c r="AA210" s="49"/>
      <c r="AB210" s="33" t="s">
        <v>543</v>
      </c>
      <c r="AC210" s="33"/>
      <c r="AD210" s="50">
        <f t="shared" si="50"/>
        <v>0</v>
      </c>
      <c r="AE210" s="51">
        <f t="shared" si="40"/>
        <v>0</v>
      </c>
      <c r="AF210" s="51">
        <f t="shared" si="41"/>
        <v>0</v>
      </c>
      <c r="AG210" s="52">
        <v>184</v>
      </c>
      <c r="AH210" s="52">
        <v>46019</v>
      </c>
      <c r="AI210" s="52">
        <v>1</v>
      </c>
      <c r="AJ210" s="53" t="s">
        <v>562</v>
      </c>
    </row>
    <row r="211" spans="1:36" ht="15.75" hidden="1" x14ac:dyDescent="0.25">
      <c r="A211" s="33" t="s">
        <v>563</v>
      </c>
      <c r="B211" s="34">
        <v>44327</v>
      </c>
      <c r="C211" s="34"/>
      <c r="D211" s="35">
        <v>1100</v>
      </c>
      <c r="E211" s="36" t="str">
        <f t="shared" si="42"/>
        <v/>
      </c>
      <c r="F211" s="37" t="str">
        <f t="shared" si="43"/>
        <v/>
      </c>
      <c r="G211" s="38">
        <f t="shared" si="44"/>
        <v>0</v>
      </c>
      <c r="H211" s="38">
        <f t="shared" si="44"/>
        <v>0</v>
      </c>
      <c r="I211" s="39">
        <v>0</v>
      </c>
      <c r="J211" s="116">
        <f t="shared" si="51"/>
        <v>0</v>
      </c>
      <c r="K211" s="117">
        <v>0</v>
      </c>
      <c r="L211" s="118">
        <v>1.03</v>
      </c>
      <c r="M211" s="39">
        <f>IF(O211&lt;&gt;"",ROUND(O211,0),IF(P211&lt;&gt;"",ROUND(P211*D211,0),I211))</f>
        <v>0</v>
      </c>
      <c r="N211" s="116">
        <f t="shared" si="46"/>
        <v>0</v>
      </c>
      <c r="O211" s="43"/>
      <c r="P211" s="119"/>
      <c r="Q211" s="120"/>
      <c r="R211" s="121"/>
      <c r="S211" s="122"/>
      <c r="T211" s="34">
        <f t="shared" si="39"/>
        <v>0</v>
      </c>
      <c r="U211" s="34">
        <f t="shared" si="47"/>
        <v>0</v>
      </c>
      <c r="V211" s="34">
        <f>IF(AND(ISBLANK(O211),ISBLANK(P211),ISBLANK(Q211)),AP211,AO211)</f>
        <v>0</v>
      </c>
      <c r="W211" s="34">
        <f t="shared" si="49"/>
        <v>0</v>
      </c>
      <c r="X211" s="48" t="s">
        <v>229</v>
      </c>
      <c r="Y211" s="48" t="s">
        <v>38</v>
      </c>
      <c r="Z211" s="49" t="s">
        <v>548</v>
      </c>
      <c r="AA211" s="49"/>
      <c r="AB211" s="33" t="s">
        <v>543</v>
      </c>
      <c r="AC211" s="33"/>
      <c r="AD211" s="50">
        <f t="shared" si="50"/>
        <v>0</v>
      </c>
      <c r="AE211" s="51">
        <f t="shared" si="40"/>
        <v>0</v>
      </c>
      <c r="AF211" s="51">
        <f t="shared" si="41"/>
        <v>0</v>
      </c>
      <c r="AG211" s="52">
        <v>44328</v>
      </c>
      <c r="AH211" s="52">
        <v>44327</v>
      </c>
      <c r="AI211" s="52">
        <v>1</v>
      </c>
      <c r="AJ211" s="53" t="s">
        <v>564</v>
      </c>
    </row>
    <row r="212" spans="1:36" ht="15.75" hidden="1" x14ac:dyDescent="0.25">
      <c r="A212" s="33" t="s">
        <v>565</v>
      </c>
      <c r="B212" s="34">
        <v>44410</v>
      </c>
      <c r="C212" s="34"/>
      <c r="D212" s="35">
        <v>572</v>
      </c>
      <c r="E212" s="36" t="str">
        <f t="shared" si="42"/>
        <v/>
      </c>
      <c r="F212" s="37" t="str">
        <f t="shared" si="43"/>
        <v/>
      </c>
      <c r="G212" s="38">
        <f t="shared" si="44"/>
        <v>0</v>
      </c>
      <c r="H212" s="38">
        <f t="shared" si="44"/>
        <v>0</v>
      </c>
      <c r="I212" s="39">
        <v>0</v>
      </c>
      <c r="J212" s="116">
        <f t="shared" si="51"/>
        <v>0</v>
      </c>
      <c r="K212" s="117">
        <v>0</v>
      </c>
      <c r="L212" s="118">
        <v>1.03</v>
      </c>
      <c r="M212" s="39">
        <f t="shared" si="45"/>
        <v>0</v>
      </c>
      <c r="N212" s="116">
        <f t="shared" si="46"/>
        <v>0</v>
      </c>
      <c r="O212" s="43"/>
      <c r="P212" s="119"/>
      <c r="Q212" s="120"/>
      <c r="R212" s="121"/>
      <c r="S212" s="122"/>
      <c r="T212" s="34">
        <f t="shared" si="39"/>
        <v>0</v>
      </c>
      <c r="U212" s="34">
        <f t="shared" si="47"/>
        <v>0</v>
      </c>
      <c r="V212" s="34">
        <f t="shared" si="48"/>
        <v>0</v>
      </c>
      <c r="W212" s="34">
        <f t="shared" si="49"/>
        <v>0</v>
      </c>
      <c r="X212" s="48" t="s">
        <v>229</v>
      </c>
      <c r="Y212" s="48" t="s">
        <v>38</v>
      </c>
      <c r="Z212" s="49" t="s">
        <v>548</v>
      </c>
      <c r="AA212" s="49"/>
      <c r="AB212" s="33" t="s">
        <v>543</v>
      </c>
      <c r="AC212" s="33"/>
      <c r="AD212" s="50">
        <f t="shared" si="50"/>
        <v>0</v>
      </c>
      <c r="AE212" s="51">
        <f t="shared" si="40"/>
        <v>0</v>
      </c>
      <c r="AF212" s="51">
        <f t="shared" si="41"/>
        <v>0</v>
      </c>
      <c r="AG212" s="52">
        <v>44328</v>
      </c>
      <c r="AH212" s="52">
        <v>44410</v>
      </c>
      <c r="AI212" s="52">
        <v>1</v>
      </c>
      <c r="AJ212" s="53" t="s">
        <v>566</v>
      </c>
    </row>
    <row r="213" spans="1:36" ht="15.75" hidden="1" x14ac:dyDescent="0.25">
      <c r="A213" s="33" t="s">
        <v>567</v>
      </c>
      <c r="B213" s="34">
        <v>9026</v>
      </c>
      <c r="C213" s="34"/>
      <c r="D213" s="35">
        <v>204</v>
      </c>
      <c r="E213" s="36" t="str">
        <f t="shared" si="42"/>
        <v/>
      </c>
      <c r="F213" s="37" t="str">
        <f t="shared" si="43"/>
        <v/>
      </c>
      <c r="G213" s="38">
        <f t="shared" si="44"/>
        <v>0</v>
      </c>
      <c r="H213" s="38">
        <f t="shared" si="44"/>
        <v>0</v>
      </c>
      <c r="I213" s="39">
        <v>0</v>
      </c>
      <c r="J213" s="116">
        <f t="shared" si="51"/>
        <v>0</v>
      </c>
      <c r="K213" s="117">
        <v>0</v>
      </c>
      <c r="L213" s="118">
        <v>0.98899999999999999</v>
      </c>
      <c r="M213" s="39">
        <f t="shared" si="45"/>
        <v>0</v>
      </c>
      <c r="N213" s="116">
        <f t="shared" si="46"/>
        <v>0</v>
      </c>
      <c r="O213" s="43"/>
      <c r="P213" s="119"/>
      <c r="Q213" s="120"/>
      <c r="R213" s="121"/>
      <c r="S213" s="122"/>
      <c r="T213" s="34">
        <f t="shared" si="39"/>
        <v>0</v>
      </c>
      <c r="U213" s="34">
        <f t="shared" si="47"/>
        <v>0</v>
      </c>
      <c r="V213" s="34">
        <f t="shared" si="48"/>
        <v>0</v>
      </c>
      <c r="W213" s="34">
        <f t="shared" si="49"/>
        <v>0</v>
      </c>
      <c r="X213" s="48" t="s">
        <v>240</v>
      </c>
      <c r="Y213" s="48" t="s">
        <v>38</v>
      </c>
      <c r="Z213" s="49" t="s">
        <v>548</v>
      </c>
      <c r="AA213" s="49"/>
      <c r="AB213" s="33" t="s">
        <v>283</v>
      </c>
      <c r="AC213" s="33"/>
      <c r="AD213" s="50">
        <f t="shared" si="50"/>
        <v>0</v>
      </c>
      <c r="AE213" s="51">
        <f t="shared" si="40"/>
        <v>0</v>
      </c>
      <c r="AF213" s="51">
        <f t="shared" si="41"/>
        <v>0</v>
      </c>
      <c r="AG213" s="52">
        <v>9025</v>
      </c>
      <c r="AH213" s="52">
        <v>9026</v>
      </c>
      <c r="AI213" s="52">
        <v>1</v>
      </c>
      <c r="AJ213" s="53" t="s">
        <v>568</v>
      </c>
    </row>
    <row r="214" spans="1:36" ht="15.75" hidden="1" x14ac:dyDescent="0.25">
      <c r="A214" s="33" t="s">
        <v>569</v>
      </c>
      <c r="B214" s="34">
        <v>53</v>
      </c>
      <c r="C214" s="34"/>
      <c r="D214" s="35">
        <v>872</v>
      </c>
      <c r="E214" s="36" t="str">
        <f t="shared" si="42"/>
        <v/>
      </c>
      <c r="F214" s="37" t="str">
        <f t="shared" si="43"/>
        <v/>
      </c>
      <c r="G214" s="38">
        <f t="shared" si="44"/>
        <v>0</v>
      </c>
      <c r="H214" s="38">
        <f t="shared" si="44"/>
        <v>0</v>
      </c>
      <c r="I214" s="39">
        <v>0</v>
      </c>
      <c r="J214" s="116">
        <f t="shared" si="51"/>
        <v>0</v>
      </c>
      <c r="K214" s="117">
        <v>0</v>
      </c>
      <c r="L214" s="118">
        <v>0.98599999999999999</v>
      </c>
      <c r="M214" s="39">
        <f t="shared" si="45"/>
        <v>0</v>
      </c>
      <c r="N214" s="116">
        <f t="shared" si="46"/>
        <v>0</v>
      </c>
      <c r="O214" s="43"/>
      <c r="P214" s="119"/>
      <c r="Q214" s="120"/>
      <c r="R214" s="121"/>
      <c r="S214" s="122"/>
      <c r="T214" s="34">
        <f t="shared" si="39"/>
        <v>0</v>
      </c>
      <c r="U214" s="34">
        <f t="shared" si="47"/>
        <v>0</v>
      </c>
      <c r="V214" s="34">
        <f t="shared" si="48"/>
        <v>0</v>
      </c>
      <c r="W214" s="34">
        <f t="shared" si="49"/>
        <v>0</v>
      </c>
      <c r="X214" s="48" t="s">
        <v>229</v>
      </c>
      <c r="Y214" s="48" t="s">
        <v>38</v>
      </c>
      <c r="Z214" s="49" t="s">
        <v>548</v>
      </c>
      <c r="AA214" s="49"/>
      <c r="AB214" s="33" t="s">
        <v>543</v>
      </c>
      <c r="AC214" s="33"/>
      <c r="AD214" s="50">
        <f t="shared" si="50"/>
        <v>0</v>
      </c>
      <c r="AE214" s="51">
        <f t="shared" si="40"/>
        <v>0</v>
      </c>
      <c r="AF214" s="51">
        <f t="shared" si="41"/>
        <v>0</v>
      </c>
      <c r="AG214" s="52">
        <v>53</v>
      </c>
      <c r="AH214" s="52">
        <v>52</v>
      </c>
      <c r="AI214" s="52">
        <v>1</v>
      </c>
      <c r="AJ214" s="53" t="s">
        <v>570</v>
      </c>
    </row>
    <row r="215" spans="1:36" ht="15.75" hidden="1" x14ac:dyDescent="0.25">
      <c r="A215" s="33" t="s">
        <v>571</v>
      </c>
      <c r="B215" s="34">
        <v>54</v>
      </c>
      <c r="C215" s="34"/>
      <c r="D215" s="35">
        <v>477</v>
      </c>
      <c r="E215" s="36" t="str">
        <f t="shared" si="42"/>
        <v/>
      </c>
      <c r="F215" s="37" t="str">
        <f t="shared" si="43"/>
        <v/>
      </c>
      <c r="G215" s="38">
        <f t="shared" si="44"/>
        <v>0</v>
      </c>
      <c r="H215" s="38">
        <f t="shared" si="44"/>
        <v>0</v>
      </c>
      <c r="I215" s="39">
        <v>0</v>
      </c>
      <c r="J215" s="116">
        <f t="shared" si="51"/>
        <v>0</v>
      </c>
      <c r="K215" s="117">
        <v>0</v>
      </c>
      <c r="L215" s="118">
        <v>0.98599999999999999</v>
      </c>
      <c r="M215" s="39">
        <f t="shared" si="45"/>
        <v>0</v>
      </c>
      <c r="N215" s="116">
        <f t="shared" si="46"/>
        <v>0</v>
      </c>
      <c r="O215" s="43"/>
      <c r="P215" s="119"/>
      <c r="Q215" s="120"/>
      <c r="R215" s="121"/>
      <c r="S215" s="122"/>
      <c r="T215" s="34">
        <f t="shared" si="39"/>
        <v>0</v>
      </c>
      <c r="U215" s="34">
        <f t="shared" si="47"/>
        <v>0</v>
      </c>
      <c r="V215" s="34">
        <f t="shared" si="48"/>
        <v>0</v>
      </c>
      <c r="W215" s="34">
        <f t="shared" si="49"/>
        <v>0</v>
      </c>
      <c r="X215" s="48" t="s">
        <v>229</v>
      </c>
      <c r="Y215" s="48" t="s">
        <v>38</v>
      </c>
      <c r="Z215" s="49" t="s">
        <v>548</v>
      </c>
      <c r="AA215" s="49"/>
      <c r="AB215" s="33" t="s">
        <v>543</v>
      </c>
      <c r="AC215" s="33"/>
      <c r="AD215" s="50">
        <f t="shared" si="50"/>
        <v>0</v>
      </c>
      <c r="AE215" s="51">
        <f t="shared" si="40"/>
        <v>0</v>
      </c>
      <c r="AF215" s="51">
        <f t="shared" si="41"/>
        <v>0</v>
      </c>
      <c r="AG215" s="52">
        <v>54</v>
      </c>
      <c r="AH215" s="52">
        <v>52</v>
      </c>
      <c r="AI215" s="52">
        <v>1</v>
      </c>
      <c r="AJ215" s="53" t="s">
        <v>572</v>
      </c>
    </row>
    <row r="216" spans="1:36" ht="15.75" hidden="1" x14ac:dyDescent="0.25">
      <c r="A216" s="33" t="s">
        <v>573</v>
      </c>
      <c r="B216" s="34">
        <v>9600</v>
      </c>
      <c r="C216" s="34"/>
      <c r="D216" s="35">
        <v>128</v>
      </c>
      <c r="E216" s="36" t="str">
        <f t="shared" si="42"/>
        <v/>
      </c>
      <c r="F216" s="37" t="str">
        <f t="shared" si="43"/>
        <v/>
      </c>
      <c r="G216" s="38">
        <f t="shared" si="44"/>
        <v>0</v>
      </c>
      <c r="H216" s="38">
        <f t="shared" si="44"/>
        <v>0</v>
      </c>
      <c r="I216" s="39">
        <v>40</v>
      </c>
      <c r="J216" s="116">
        <f t="shared" si="51"/>
        <v>0.3125</v>
      </c>
      <c r="K216" s="117">
        <v>-26.1</v>
      </c>
      <c r="L216" s="118">
        <v>1.02</v>
      </c>
      <c r="M216" s="39">
        <f t="shared" si="45"/>
        <v>40</v>
      </c>
      <c r="N216" s="116">
        <f t="shared" si="46"/>
        <v>0.3125</v>
      </c>
      <c r="O216" s="43"/>
      <c r="P216" s="119"/>
      <c r="Q216" s="120"/>
      <c r="R216" s="121"/>
      <c r="S216" s="122"/>
      <c r="T216" s="34">
        <f t="shared" si="39"/>
        <v>0</v>
      </c>
      <c r="U216" s="34">
        <f t="shared" si="47"/>
        <v>0</v>
      </c>
      <c r="V216" s="34">
        <f t="shared" si="48"/>
        <v>0</v>
      </c>
      <c r="W216" s="34">
        <f t="shared" si="49"/>
        <v>0</v>
      </c>
      <c r="X216" s="48" t="s">
        <v>229</v>
      </c>
      <c r="Y216" s="48" t="s">
        <v>38</v>
      </c>
      <c r="Z216" s="49" t="s">
        <v>548</v>
      </c>
      <c r="AA216" s="49"/>
      <c r="AB216" s="33" t="s">
        <v>543</v>
      </c>
      <c r="AC216" s="33"/>
      <c r="AD216" s="50">
        <f t="shared" si="50"/>
        <v>0.3125</v>
      </c>
      <c r="AE216" s="51">
        <f t="shared" si="40"/>
        <v>0</v>
      </c>
      <c r="AF216" s="51">
        <f t="shared" si="41"/>
        <v>0</v>
      </c>
      <c r="AG216" s="52">
        <v>9637</v>
      </c>
      <c r="AH216" s="52">
        <v>9600</v>
      </c>
      <c r="AI216" s="52">
        <v>1</v>
      </c>
      <c r="AJ216" s="53" t="s">
        <v>574</v>
      </c>
    </row>
    <row r="217" spans="1:36" ht="15.75" hidden="1" x14ac:dyDescent="0.25">
      <c r="A217" s="33" t="s">
        <v>575</v>
      </c>
      <c r="B217" s="34">
        <v>9603</v>
      </c>
      <c r="C217" s="34"/>
      <c r="D217" s="35">
        <v>310</v>
      </c>
      <c r="E217" s="36" t="str">
        <f t="shared" si="42"/>
        <v/>
      </c>
      <c r="F217" s="37" t="str">
        <f t="shared" si="43"/>
        <v/>
      </c>
      <c r="G217" s="38">
        <f t="shared" si="44"/>
        <v>0</v>
      </c>
      <c r="H217" s="38">
        <f t="shared" si="44"/>
        <v>0</v>
      </c>
      <c r="I217" s="39">
        <v>80</v>
      </c>
      <c r="J217" s="116">
        <f t="shared" si="51"/>
        <v>0.25806451612903225</v>
      </c>
      <c r="K217" s="117">
        <v>-64.7</v>
      </c>
      <c r="L217" s="118">
        <v>1.01</v>
      </c>
      <c r="M217" s="39">
        <f t="shared" si="45"/>
        <v>80</v>
      </c>
      <c r="N217" s="116">
        <f t="shared" si="46"/>
        <v>0.25806451612903225</v>
      </c>
      <c r="O217" s="43"/>
      <c r="P217" s="119"/>
      <c r="Q217" s="120"/>
      <c r="R217" s="121"/>
      <c r="S217" s="122"/>
      <c r="T217" s="34">
        <f t="shared" si="39"/>
        <v>0</v>
      </c>
      <c r="U217" s="34">
        <f t="shared" si="47"/>
        <v>0</v>
      </c>
      <c r="V217" s="34">
        <f t="shared" si="48"/>
        <v>0</v>
      </c>
      <c r="W217" s="34">
        <f t="shared" si="49"/>
        <v>0</v>
      </c>
      <c r="X217" s="48" t="s">
        <v>229</v>
      </c>
      <c r="Y217" s="48" t="s">
        <v>38</v>
      </c>
      <c r="Z217" s="49" t="s">
        <v>548</v>
      </c>
      <c r="AA217" s="49"/>
      <c r="AB217" s="33" t="s">
        <v>543</v>
      </c>
      <c r="AC217" s="33"/>
      <c r="AD217" s="50">
        <f t="shared" si="50"/>
        <v>0.25806451612903225</v>
      </c>
      <c r="AE217" s="51">
        <f t="shared" si="40"/>
        <v>0</v>
      </c>
      <c r="AF217" s="51">
        <f t="shared" si="41"/>
        <v>0</v>
      </c>
      <c r="AG217" s="52">
        <v>9637</v>
      </c>
      <c r="AH217" s="52">
        <v>9603</v>
      </c>
      <c r="AI217" s="52">
        <v>1</v>
      </c>
      <c r="AJ217" s="53" t="s">
        <v>576</v>
      </c>
    </row>
    <row r="218" spans="1:36" ht="15.75" hidden="1" x14ac:dyDescent="0.25">
      <c r="A218" s="33" t="s">
        <v>573</v>
      </c>
      <c r="B218" s="34">
        <v>9615</v>
      </c>
      <c r="C218" s="34"/>
      <c r="D218" s="35">
        <v>128</v>
      </c>
      <c r="E218" s="36" t="str">
        <f t="shared" si="42"/>
        <v/>
      </c>
      <c r="F218" s="37" t="str">
        <f t="shared" si="43"/>
        <v/>
      </c>
      <c r="G218" s="38">
        <f t="shared" si="44"/>
        <v>0</v>
      </c>
      <c r="H218" s="38">
        <f t="shared" si="44"/>
        <v>0</v>
      </c>
      <c r="I218" s="39">
        <v>40</v>
      </c>
      <c r="J218" s="116">
        <f t="shared" si="51"/>
        <v>0.3125</v>
      </c>
      <c r="K218" s="117">
        <v>-26.1</v>
      </c>
      <c r="L218" s="118">
        <v>1.02</v>
      </c>
      <c r="M218" s="39">
        <f t="shared" si="45"/>
        <v>40</v>
      </c>
      <c r="N218" s="116">
        <f t="shared" si="46"/>
        <v>0.3125</v>
      </c>
      <c r="O218" s="43"/>
      <c r="P218" s="119"/>
      <c r="Q218" s="120"/>
      <c r="R218" s="121"/>
      <c r="S218" s="122"/>
      <c r="T218" s="34">
        <f t="shared" si="39"/>
        <v>0</v>
      </c>
      <c r="U218" s="34">
        <f t="shared" si="47"/>
        <v>0</v>
      </c>
      <c r="V218" s="34">
        <f t="shared" si="48"/>
        <v>0</v>
      </c>
      <c r="W218" s="34">
        <f t="shared" si="49"/>
        <v>0</v>
      </c>
      <c r="X218" s="48" t="s">
        <v>229</v>
      </c>
      <c r="Y218" s="48" t="s">
        <v>38</v>
      </c>
      <c r="Z218" s="49" t="s">
        <v>548</v>
      </c>
      <c r="AA218" s="49"/>
      <c r="AB218" s="33" t="s">
        <v>543</v>
      </c>
      <c r="AC218" s="33"/>
      <c r="AD218" s="50">
        <f t="shared" si="50"/>
        <v>0.3125</v>
      </c>
      <c r="AE218" s="51">
        <f t="shared" si="40"/>
        <v>0</v>
      </c>
      <c r="AF218" s="51">
        <f t="shared" si="41"/>
        <v>0</v>
      </c>
      <c r="AG218" s="52">
        <v>9637</v>
      </c>
      <c r="AH218" s="52">
        <v>9615</v>
      </c>
      <c r="AI218" s="52">
        <v>1</v>
      </c>
      <c r="AJ218" s="53" t="s">
        <v>577</v>
      </c>
    </row>
    <row r="219" spans="1:36" ht="15.75" hidden="1" x14ac:dyDescent="0.25">
      <c r="A219" s="33" t="s">
        <v>578</v>
      </c>
      <c r="B219" s="34">
        <v>4203</v>
      </c>
      <c r="C219" s="34"/>
      <c r="D219" s="85">
        <v>120</v>
      </c>
      <c r="E219" s="36" t="str">
        <f t="shared" si="42"/>
        <v/>
      </c>
      <c r="F219" s="37" t="str">
        <f t="shared" si="43"/>
        <v/>
      </c>
      <c r="G219" s="38">
        <f t="shared" si="44"/>
        <v>0</v>
      </c>
      <c r="H219" s="38">
        <f t="shared" si="44"/>
        <v>0</v>
      </c>
      <c r="I219" s="39">
        <v>0</v>
      </c>
      <c r="J219" s="116">
        <f t="shared" si="51"/>
        <v>0</v>
      </c>
      <c r="K219" s="117">
        <v>0</v>
      </c>
      <c r="L219" s="118">
        <v>1</v>
      </c>
      <c r="M219" s="39">
        <f t="shared" si="45"/>
        <v>0</v>
      </c>
      <c r="N219" s="116">
        <f t="shared" si="46"/>
        <v>0</v>
      </c>
      <c r="O219" s="43"/>
      <c r="P219" s="119"/>
      <c r="Q219" s="120"/>
      <c r="R219" s="121"/>
      <c r="S219" s="122"/>
      <c r="T219" s="34">
        <f t="shared" si="39"/>
        <v>0</v>
      </c>
      <c r="U219" s="34">
        <f t="shared" si="47"/>
        <v>0</v>
      </c>
      <c r="V219" s="34">
        <f t="shared" si="48"/>
        <v>0</v>
      </c>
      <c r="W219" s="34">
        <f t="shared" si="49"/>
        <v>0</v>
      </c>
      <c r="X219" s="48" t="s">
        <v>229</v>
      </c>
      <c r="Y219" s="48" t="s">
        <v>38</v>
      </c>
      <c r="Z219" s="49" t="s">
        <v>548</v>
      </c>
      <c r="AA219" s="49"/>
      <c r="AB219" s="33" t="s">
        <v>543</v>
      </c>
      <c r="AC219" s="33"/>
      <c r="AD219" s="50">
        <f t="shared" si="50"/>
        <v>0</v>
      </c>
      <c r="AE219" s="51">
        <f t="shared" si="40"/>
        <v>0</v>
      </c>
      <c r="AF219" s="51">
        <f t="shared" si="41"/>
        <v>0</v>
      </c>
      <c r="AG219" s="52">
        <v>4201</v>
      </c>
      <c r="AH219" s="52">
        <v>4203</v>
      </c>
      <c r="AI219" s="52">
        <v>1</v>
      </c>
      <c r="AJ219" s="53" t="s">
        <v>579</v>
      </c>
    </row>
    <row r="220" spans="1:36" ht="15.75" hidden="1" x14ac:dyDescent="0.25">
      <c r="A220" s="33" t="s">
        <v>578</v>
      </c>
      <c r="B220" s="34">
        <v>44324</v>
      </c>
      <c r="C220" s="34"/>
      <c r="D220" s="85">
        <v>120</v>
      </c>
      <c r="E220" s="36" t="str">
        <f t="shared" si="42"/>
        <v/>
      </c>
      <c r="F220" s="37" t="str">
        <f t="shared" si="43"/>
        <v/>
      </c>
      <c r="G220" s="38">
        <f t="shared" si="44"/>
        <v>0</v>
      </c>
      <c r="H220" s="38">
        <f t="shared" si="44"/>
        <v>0</v>
      </c>
      <c r="I220" s="39">
        <v>0</v>
      </c>
      <c r="J220" s="116">
        <f t="shared" si="51"/>
        <v>0</v>
      </c>
      <c r="K220" s="117">
        <v>0</v>
      </c>
      <c r="L220" s="118">
        <v>1</v>
      </c>
      <c r="M220" s="39">
        <f t="shared" si="45"/>
        <v>0</v>
      </c>
      <c r="N220" s="116">
        <f t="shared" si="46"/>
        <v>0</v>
      </c>
      <c r="O220" s="43"/>
      <c r="P220" s="119"/>
      <c r="Q220" s="120"/>
      <c r="R220" s="121"/>
      <c r="S220" s="122"/>
      <c r="T220" s="34">
        <f t="shared" si="39"/>
        <v>0</v>
      </c>
      <c r="U220" s="34">
        <f t="shared" si="47"/>
        <v>0</v>
      </c>
      <c r="V220" s="34">
        <f t="shared" si="48"/>
        <v>0</v>
      </c>
      <c r="W220" s="34">
        <f t="shared" si="49"/>
        <v>0</v>
      </c>
      <c r="X220" s="48" t="s">
        <v>229</v>
      </c>
      <c r="Y220" s="48" t="s">
        <v>38</v>
      </c>
      <c r="Z220" s="49" t="s">
        <v>548</v>
      </c>
      <c r="AA220" s="49"/>
      <c r="AB220" s="33" t="s">
        <v>543</v>
      </c>
      <c r="AC220" s="33"/>
      <c r="AD220" s="50">
        <f t="shared" si="50"/>
        <v>0</v>
      </c>
      <c r="AE220" s="51">
        <f t="shared" si="40"/>
        <v>0</v>
      </c>
      <c r="AF220" s="51">
        <f t="shared" si="41"/>
        <v>0</v>
      </c>
      <c r="AG220" s="52">
        <v>4201</v>
      </c>
      <c r="AH220" s="52">
        <v>44324</v>
      </c>
      <c r="AI220" s="52">
        <v>1</v>
      </c>
      <c r="AJ220" s="53" t="s">
        <v>580</v>
      </c>
    </row>
    <row r="221" spans="1:36" ht="15.75" hidden="1" x14ac:dyDescent="0.25">
      <c r="A221" s="33" t="s">
        <v>578</v>
      </c>
      <c r="B221" s="34">
        <v>4204</v>
      </c>
      <c r="C221" s="34"/>
      <c r="D221" s="35">
        <v>184</v>
      </c>
      <c r="E221" s="36" t="str">
        <f t="shared" si="42"/>
        <v/>
      </c>
      <c r="F221" s="37" t="str">
        <f t="shared" si="43"/>
        <v/>
      </c>
      <c r="G221" s="38">
        <f t="shared" si="44"/>
        <v>0</v>
      </c>
      <c r="H221" s="38">
        <f t="shared" si="44"/>
        <v>0</v>
      </c>
      <c r="I221" s="39">
        <v>0</v>
      </c>
      <c r="J221" s="116">
        <f t="shared" si="51"/>
        <v>0</v>
      </c>
      <c r="K221" s="117">
        <v>0</v>
      </c>
      <c r="L221" s="118">
        <v>1</v>
      </c>
      <c r="M221" s="39">
        <f t="shared" si="45"/>
        <v>0</v>
      </c>
      <c r="N221" s="116">
        <f t="shared" si="46"/>
        <v>0</v>
      </c>
      <c r="O221" s="43"/>
      <c r="P221" s="119"/>
      <c r="Q221" s="120"/>
      <c r="R221" s="121"/>
      <c r="S221" s="122"/>
      <c r="T221" s="34">
        <f t="shared" si="39"/>
        <v>0</v>
      </c>
      <c r="U221" s="34">
        <f t="shared" si="47"/>
        <v>0</v>
      </c>
      <c r="V221" s="34">
        <f t="shared" si="48"/>
        <v>0</v>
      </c>
      <c r="W221" s="34">
        <f t="shared" si="49"/>
        <v>0</v>
      </c>
      <c r="X221" s="48" t="s">
        <v>229</v>
      </c>
      <c r="Y221" s="48" t="s">
        <v>38</v>
      </c>
      <c r="Z221" s="49" t="s">
        <v>548</v>
      </c>
      <c r="AA221" s="49"/>
      <c r="AB221" s="33" t="s">
        <v>543</v>
      </c>
      <c r="AC221" s="33"/>
      <c r="AD221" s="50">
        <f t="shared" si="50"/>
        <v>0</v>
      </c>
      <c r="AE221" s="51">
        <f t="shared" si="40"/>
        <v>0</v>
      </c>
      <c r="AF221" s="51">
        <f t="shared" si="41"/>
        <v>0</v>
      </c>
      <c r="AG221" s="52">
        <v>4201</v>
      </c>
      <c r="AH221" s="52">
        <v>4204</v>
      </c>
      <c r="AI221" s="52">
        <v>1</v>
      </c>
      <c r="AJ221" s="53" t="s">
        <v>581</v>
      </c>
    </row>
    <row r="222" spans="1:36" ht="15.75" hidden="1" x14ac:dyDescent="0.25">
      <c r="A222" s="33" t="s">
        <v>578</v>
      </c>
      <c r="B222" s="34">
        <v>4205</v>
      </c>
      <c r="C222" s="34"/>
      <c r="D222" s="35">
        <v>120</v>
      </c>
      <c r="E222" s="36" t="str">
        <f t="shared" si="42"/>
        <v/>
      </c>
      <c r="F222" s="37" t="str">
        <f t="shared" si="43"/>
        <v/>
      </c>
      <c r="G222" s="38">
        <f t="shared" si="44"/>
        <v>0</v>
      </c>
      <c r="H222" s="38">
        <f t="shared" si="44"/>
        <v>0</v>
      </c>
      <c r="I222" s="39">
        <v>0</v>
      </c>
      <c r="J222" s="116">
        <f t="shared" si="51"/>
        <v>0</v>
      </c>
      <c r="K222" s="117">
        <v>0</v>
      </c>
      <c r="L222" s="118">
        <v>1</v>
      </c>
      <c r="M222" s="39">
        <f t="shared" si="45"/>
        <v>0</v>
      </c>
      <c r="N222" s="116">
        <f t="shared" si="46"/>
        <v>0</v>
      </c>
      <c r="O222" s="43"/>
      <c r="P222" s="119"/>
      <c r="Q222" s="120"/>
      <c r="R222" s="121"/>
      <c r="S222" s="122"/>
      <c r="T222" s="34">
        <f t="shared" si="39"/>
        <v>0</v>
      </c>
      <c r="U222" s="34">
        <f t="shared" si="47"/>
        <v>0</v>
      </c>
      <c r="V222" s="34">
        <f t="shared" si="48"/>
        <v>0</v>
      </c>
      <c r="W222" s="34">
        <f t="shared" si="49"/>
        <v>0</v>
      </c>
      <c r="X222" s="48" t="s">
        <v>229</v>
      </c>
      <c r="Y222" s="48" t="s">
        <v>38</v>
      </c>
      <c r="Z222" s="49" t="s">
        <v>548</v>
      </c>
      <c r="AA222" s="49"/>
      <c r="AB222" s="33" t="s">
        <v>543</v>
      </c>
      <c r="AC222" s="33"/>
      <c r="AD222" s="50">
        <f t="shared" si="50"/>
        <v>0</v>
      </c>
      <c r="AE222" s="51">
        <f t="shared" si="40"/>
        <v>0</v>
      </c>
      <c r="AF222" s="51">
        <f t="shared" si="41"/>
        <v>0</v>
      </c>
      <c r="AG222" s="52">
        <v>4201</v>
      </c>
      <c r="AH222" s="52">
        <v>4205</v>
      </c>
      <c r="AI222" s="52">
        <v>1</v>
      </c>
      <c r="AJ222" s="53" t="s">
        <v>582</v>
      </c>
    </row>
    <row r="223" spans="1:36" ht="15.75" hidden="1" x14ac:dyDescent="0.25">
      <c r="A223" s="33" t="s">
        <v>578</v>
      </c>
      <c r="B223" s="34">
        <v>4206</v>
      </c>
      <c r="C223" s="34"/>
      <c r="D223" s="35">
        <v>120</v>
      </c>
      <c r="E223" s="36" t="str">
        <f t="shared" si="42"/>
        <v/>
      </c>
      <c r="F223" s="37" t="str">
        <f t="shared" si="43"/>
        <v/>
      </c>
      <c r="G223" s="38">
        <f t="shared" si="44"/>
        <v>0</v>
      </c>
      <c r="H223" s="38">
        <f t="shared" si="44"/>
        <v>0</v>
      </c>
      <c r="I223" s="39">
        <v>0</v>
      </c>
      <c r="J223" s="116">
        <f t="shared" si="51"/>
        <v>0</v>
      </c>
      <c r="K223" s="117">
        <v>0</v>
      </c>
      <c r="L223" s="118">
        <v>1</v>
      </c>
      <c r="M223" s="39">
        <f t="shared" si="45"/>
        <v>0</v>
      </c>
      <c r="N223" s="116">
        <f t="shared" si="46"/>
        <v>0</v>
      </c>
      <c r="O223" s="43"/>
      <c r="P223" s="119"/>
      <c r="Q223" s="120"/>
      <c r="R223" s="121"/>
      <c r="S223" s="122"/>
      <c r="T223" s="34">
        <f t="shared" si="39"/>
        <v>0</v>
      </c>
      <c r="U223" s="34">
        <f t="shared" si="47"/>
        <v>0</v>
      </c>
      <c r="V223" s="34">
        <f t="shared" si="48"/>
        <v>0</v>
      </c>
      <c r="W223" s="34">
        <f t="shared" si="49"/>
        <v>0</v>
      </c>
      <c r="X223" s="48" t="s">
        <v>229</v>
      </c>
      <c r="Y223" s="48" t="s">
        <v>38</v>
      </c>
      <c r="Z223" s="49" t="s">
        <v>548</v>
      </c>
      <c r="AA223" s="49"/>
      <c r="AB223" s="33" t="s">
        <v>543</v>
      </c>
      <c r="AC223" s="33"/>
      <c r="AD223" s="50">
        <f t="shared" si="50"/>
        <v>0</v>
      </c>
      <c r="AE223" s="51">
        <f t="shared" si="40"/>
        <v>0</v>
      </c>
      <c r="AF223" s="51">
        <f t="shared" si="41"/>
        <v>0</v>
      </c>
      <c r="AG223" s="52">
        <v>4202</v>
      </c>
      <c r="AH223" s="52">
        <v>4206</v>
      </c>
      <c r="AI223" s="52">
        <v>1</v>
      </c>
      <c r="AJ223" s="53" t="s">
        <v>583</v>
      </c>
    </row>
    <row r="224" spans="1:36" ht="15.75" hidden="1" x14ac:dyDescent="0.25">
      <c r="A224" s="33" t="s">
        <v>578</v>
      </c>
      <c r="B224" s="34">
        <v>44325</v>
      </c>
      <c r="C224" s="34"/>
      <c r="D224" s="35">
        <v>120</v>
      </c>
      <c r="E224" s="36" t="str">
        <f t="shared" si="42"/>
        <v/>
      </c>
      <c r="F224" s="37" t="str">
        <f t="shared" si="43"/>
        <v/>
      </c>
      <c r="G224" s="38">
        <f t="shared" si="44"/>
        <v>0</v>
      </c>
      <c r="H224" s="38">
        <f t="shared" si="44"/>
        <v>0</v>
      </c>
      <c r="I224" s="39">
        <v>0</v>
      </c>
      <c r="J224" s="116">
        <f t="shared" si="51"/>
        <v>0</v>
      </c>
      <c r="K224" s="117">
        <v>0</v>
      </c>
      <c r="L224" s="118">
        <v>1</v>
      </c>
      <c r="M224" s="39">
        <f t="shared" si="45"/>
        <v>0</v>
      </c>
      <c r="N224" s="116">
        <f t="shared" si="46"/>
        <v>0</v>
      </c>
      <c r="O224" s="43"/>
      <c r="P224" s="119"/>
      <c r="Q224" s="120"/>
      <c r="R224" s="121"/>
      <c r="S224" s="122"/>
      <c r="T224" s="34">
        <f t="shared" si="39"/>
        <v>0</v>
      </c>
      <c r="U224" s="34">
        <f t="shared" si="47"/>
        <v>0</v>
      </c>
      <c r="V224" s="34">
        <f t="shared" si="48"/>
        <v>0</v>
      </c>
      <c r="W224" s="34">
        <f t="shared" si="49"/>
        <v>0</v>
      </c>
      <c r="X224" s="48" t="s">
        <v>229</v>
      </c>
      <c r="Y224" s="48" t="s">
        <v>38</v>
      </c>
      <c r="Z224" s="49" t="s">
        <v>548</v>
      </c>
      <c r="AA224" s="49"/>
      <c r="AB224" s="33" t="s">
        <v>543</v>
      </c>
      <c r="AC224" s="33"/>
      <c r="AD224" s="50">
        <f t="shared" si="50"/>
        <v>0</v>
      </c>
      <c r="AE224" s="51">
        <f t="shared" si="40"/>
        <v>0</v>
      </c>
      <c r="AF224" s="51">
        <f t="shared" si="41"/>
        <v>0</v>
      </c>
      <c r="AG224" s="52">
        <v>4202</v>
      </c>
      <c r="AH224" s="52">
        <v>44325</v>
      </c>
      <c r="AI224" s="52">
        <v>1</v>
      </c>
      <c r="AJ224" s="53" t="s">
        <v>584</v>
      </c>
    </row>
    <row r="225" spans="1:36" ht="15.75" hidden="1" x14ac:dyDescent="0.25">
      <c r="A225" s="33" t="s">
        <v>578</v>
      </c>
      <c r="B225" s="34">
        <v>4207</v>
      </c>
      <c r="C225" s="34"/>
      <c r="D225" s="35">
        <v>120</v>
      </c>
      <c r="E225" s="36" t="str">
        <f t="shared" si="42"/>
        <v/>
      </c>
      <c r="F225" s="37" t="str">
        <f t="shared" si="43"/>
        <v/>
      </c>
      <c r="G225" s="38">
        <f t="shared" si="44"/>
        <v>0</v>
      </c>
      <c r="H225" s="38">
        <f t="shared" si="44"/>
        <v>0</v>
      </c>
      <c r="I225" s="39">
        <v>0</v>
      </c>
      <c r="J225" s="116">
        <f t="shared" si="51"/>
        <v>0</v>
      </c>
      <c r="K225" s="117">
        <v>0</v>
      </c>
      <c r="L225" s="118">
        <v>1</v>
      </c>
      <c r="M225" s="39">
        <f t="shared" si="45"/>
        <v>0</v>
      </c>
      <c r="N225" s="116">
        <f t="shared" si="46"/>
        <v>0</v>
      </c>
      <c r="O225" s="43"/>
      <c r="P225" s="119"/>
      <c r="Q225" s="120"/>
      <c r="R225" s="121"/>
      <c r="S225" s="122"/>
      <c r="T225" s="34">
        <f t="shared" si="39"/>
        <v>0</v>
      </c>
      <c r="U225" s="34">
        <f t="shared" si="47"/>
        <v>0</v>
      </c>
      <c r="V225" s="34">
        <f t="shared" si="48"/>
        <v>0</v>
      </c>
      <c r="W225" s="34">
        <f t="shared" si="49"/>
        <v>0</v>
      </c>
      <c r="X225" s="48" t="s">
        <v>229</v>
      </c>
      <c r="Y225" s="48" t="s">
        <v>38</v>
      </c>
      <c r="Z225" s="49" t="s">
        <v>548</v>
      </c>
      <c r="AA225" s="49"/>
      <c r="AB225" s="33" t="s">
        <v>543</v>
      </c>
      <c r="AC225" s="33"/>
      <c r="AD225" s="50">
        <f t="shared" si="50"/>
        <v>0</v>
      </c>
      <c r="AE225" s="51">
        <f t="shared" si="40"/>
        <v>0</v>
      </c>
      <c r="AF225" s="51">
        <f t="shared" si="41"/>
        <v>0</v>
      </c>
      <c r="AG225" s="52">
        <v>4202</v>
      </c>
      <c r="AH225" s="52">
        <v>4207</v>
      </c>
      <c r="AI225" s="52">
        <v>1</v>
      </c>
      <c r="AJ225" s="53" t="s">
        <v>585</v>
      </c>
    </row>
    <row r="226" spans="1:36" ht="15.75" hidden="1" x14ac:dyDescent="0.25">
      <c r="A226" s="33" t="s">
        <v>578</v>
      </c>
      <c r="B226" s="34">
        <v>44326</v>
      </c>
      <c r="C226" s="34"/>
      <c r="D226" s="35">
        <v>120</v>
      </c>
      <c r="E226" s="36" t="str">
        <f t="shared" si="42"/>
        <v/>
      </c>
      <c r="F226" s="37" t="str">
        <f t="shared" si="43"/>
        <v/>
      </c>
      <c r="G226" s="38">
        <f t="shared" si="44"/>
        <v>0</v>
      </c>
      <c r="H226" s="38">
        <f t="shared" si="44"/>
        <v>0</v>
      </c>
      <c r="I226" s="39">
        <v>0</v>
      </c>
      <c r="J226" s="116">
        <f t="shared" si="51"/>
        <v>0</v>
      </c>
      <c r="K226" s="117">
        <v>0</v>
      </c>
      <c r="L226" s="118">
        <v>1</v>
      </c>
      <c r="M226" s="39">
        <f t="shared" si="45"/>
        <v>0</v>
      </c>
      <c r="N226" s="116">
        <f t="shared" si="46"/>
        <v>0</v>
      </c>
      <c r="O226" s="43"/>
      <c r="P226" s="119"/>
      <c r="Q226" s="120"/>
      <c r="R226" s="121"/>
      <c r="S226" s="122"/>
      <c r="T226" s="34">
        <f t="shared" si="39"/>
        <v>0</v>
      </c>
      <c r="U226" s="34">
        <f t="shared" si="47"/>
        <v>0</v>
      </c>
      <c r="V226" s="34">
        <f t="shared" si="48"/>
        <v>0</v>
      </c>
      <c r="W226" s="34">
        <f t="shared" si="49"/>
        <v>0</v>
      </c>
      <c r="X226" s="48" t="s">
        <v>229</v>
      </c>
      <c r="Y226" s="48" t="s">
        <v>38</v>
      </c>
      <c r="Z226" s="49" t="s">
        <v>548</v>
      </c>
      <c r="AA226" s="49"/>
      <c r="AB226" s="33" t="s">
        <v>543</v>
      </c>
      <c r="AC226" s="33"/>
      <c r="AD226" s="50">
        <f t="shared" si="50"/>
        <v>0</v>
      </c>
      <c r="AE226" s="51">
        <f t="shared" si="40"/>
        <v>0</v>
      </c>
      <c r="AF226" s="51">
        <f t="shared" si="41"/>
        <v>0</v>
      </c>
      <c r="AG226" s="52">
        <v>4202</v>
      </c>
      <c r="AH226" s="52">
        <v>44326</v>
      </c>
      <c r="AI226" s="52">
        <v>1</v>
      </c>
      <c r="AJ226" s="53" t="s">
        <v>586</v>
      </c>
    </row>
    <row r="227" spans="1:36" ht="15.75" hidden="1" x14ac:dyDescent="0.25">
      <c r="A227" s="33" t="s">
        <v>578</v>
      </c>
      <c r="B227" s="34">
        <v>4208</v>
      </c>
      <c r="C227" s="34"/>
      <c r="D227" s="35">
        <v>120</v>
      </c>
      <c r="E227" s="36" t="str">
        <f t="shared" si="42"/>
        <v/>
      </c>
      <c r="F227" s="37" t="str">
        <f t="shared" si="43"/>
        <v/>
      </c>
      <c r="G227" s="38">
        <f t="shared" si="44"/>
        <v>0</v>
      </c>
      <c r="H227" s="38">
        <f t="shared" si="44"/>
        <v>0</v>
      </c>
      <c r="I227" s="39">
        <v>0</v>
      </c>
      <c r="J227" s="116">
        <f t="shared" si="51"/>
        <v>0</v>
      </c>
      <c r="K227" s="117">
        <v>0</v>
      </c>
      <c r="L227" s="118">
        <v>1</v>
      </c>
      <c r="M227" s="39">
        <f t="shared" si="45"/>
        <v>0</v>
      </c>
      <c r="N227" s="116">
        <f t="shared" si="46"/>
        <v>0</v>
      </c>
      <c r="O227" s="43"/>
      <c r="P227" s="119"/>
      <c r="Q227" s="120"/>
      <c r="R227" s="121"/>
      <c r="S227" s="122"/>
      <c r="T227" s="34">
        <f t="shared" si="39"/>
        <v>0</v>
      </c>
      <c r="U227" s="34">
        <f t="shared" si="47"/>
        <v>0</v>
      </c>
      <c r="V227" s="34">
        <f t="shared" si="48"/>
        <v>0</v>
      </c>
      <c r="W227" s="34">
        <f t="shared" si="49"/>
        <v>0</v>
      </c>
      <c r="X227" s="48" t="s">
        <v>229</v>
      </c>
      <c r="Y227" s="48" t="s">
        <v>38</v>
      </c>
      <c r="Z227" s="49" t="s">
        <v>548</v>
      </c>
      <c r="AA227" s="49"/>
      <c r="AB227" s="33" t="s">
        <v>543</v>
      </c>
      <c r="AC227" s="33"/>
      <c r="AD227" s="50">
        <f t="shared" si="50"/>
        <v>0</v>
      </c>
      <c r="AE227" s="51">
        <f t="shared" si="40"/>
        <v>0</v>
      </c>
      <c r="AF227" s="51">
        <f t="shared" si="41"/>
        <v>0</v>
      </c>
      <c r="AG227" s="52">
        <v>4202</v>
      </c>
      <c r="AH227" s="52">
        <v>4208</v>
      </c>
      <c r="AI227" s="52">
        <v>1</v>
      </c>
      <c r="AJ227" s="53" t="s">
        <v>587</v>
      </c>
    </row>
    <row r="228" spans="1:36" ht="15.75" x14ac:dyDescent="0.25">
      <c r="A228" s="33" t="s">
        <v>588</v>
      </c>
      <c r="B228" s="34">
        <v>9100</v>
      </c>
      <c r="C228" s="136"/>
      <c r="D228" s="35">
        <v>160</v>
      </c>
      <c r="E228" s="36" t="str">
        <f t="shared" si="42"/>
        <v/>
      </c>
      <c r="F228" s="37" t="str">
        <f t="shared" si="43"/>
        <v/>
      </c>
      <c r="G228" s="38">
        <f t="shared" si="44"/>
        <v>0</v>
      </c>
      <c r="H228" s="38">
        <f t="shared" si="44"/>
        <v>0</v>
      </c>
      <c r="I228" s="39">
        <v>0</v>
      </c>
      <c r="J228" s="116">
        <f t="shared" si="51"/>
        <v>0</v>
      </c>
      <c r="K228" s="117">
        <v>0</v>
      </c>
      <c r="L228" s="118">
        <v>0.97399999999999998</v>
      </c>
      <c r="M228" s="39">
        <f t="shared" si="45"/>
        <v>0</v>
      </c>
      <c r="N228" s="116">
        <f t="shared" si="46"/>
        <v>0</v>
      </c>
      <c r="O228" s="43"/>
      <c r="P228" s="119"/>
      <c r="Q228" s="120"/>
      <c r="R228" s="121"/>
      <c r="S228" s="122"/>
      <c r="T228" s="34">
        <f t="shared" si="39"/>
        <v>0</v>
      </c>
      <c r="U228" s="34">
        <f t="shared" si="47"/>
        <v>0</v>
      </c>
      <c r="V228" s="34">
        <f t="shared" si="48"/>
        <v>0</v>
      </c>
      <c r="W228" s="34">
        <f t="shared" si="49"/>
        <v>0</v>
      </c>
      <c r="X228" s="48" t="s">
        <v>71</v>
      </c>
      <c r="Y228" s="48" t="s">
        <v>38</v>
      </c>
      <c r="Z228" s="49" t="s">
        <v>548</v>
      </c>
      <c r="AA228" s="49"/>
      <c r="AB228" s="33" t="s">
        <v>589</v>
      </c>
      <c r="AC228" s="33"/>
      <c r="AD228" s="50">
        <f t="shared" si="50"/>
        <v>0</v>
      </c>
      <c r="AE228" s="51">
        <f t="shared" si="40"/>
        <v>0</v>
      </c>
      <c r="AF228" s="51">
        <f t="shared" si="41"/>
        <v>0</v>
      </c>
      <c r="AG228" s="52">
        <v>9105</v>
      </c>
      <c r="AH228" s="52">
        <v>9100</v>
      </c>
      <c r="AI228" s="52">
        <v>1</v>
      </c>
      <c r="AJ228" s="53" t="s">
        <v>590</v>
      </c>
    </row>
    <row r="229" spans="1:36" ht="15.75" x14ac:dyDescent="0.25">
      <c r="A229" s="33" t="s">
        <v>591</v>
      </c>
      <c r="B229" s="34">
        <v>9101</v>
      </c>
      <c r="C229" s="136"/>
      <c r="D229" s="35">
        <v>50</v>
      </c>
      <c r="E229" s="36" t="str">
        <f t="shared" si="42"/>
        <v/>
      </c>
      <c r="F229" s="37" t="str">
        <f t="shared" si="43"/>
        <v/>
      </c>
      <c r="G229" s="38">
        <f t="shared" si="44"/>
        <v>0</v>
      </c>
      <c r="H229" s="38">
        <f t="shared" si="44"/>
        <v>0</v>
      </c>
      <c r="I229" s="39">
        <v>0</v>
      </c>
      <c r="J229" s="116">
        <f t="shared" si="51"/>
        <v>0</v>
      </c>
      <c r="K229" s="117">
        <v>0</v>
      </c>
      <c r="L229" s="118">
        <v>0.97399999999999998</v>
      </c>
      <c r="M229" s="39">
        <f t="shared" si="45"/>
        <v>0</v>
      </c>
      <c r="N229" s="116">
        <f t="shared" si="46"/>
        <v>0</v>
      </c>
      <c r="O229" s="43"/>
      <c r="P229" s="119"/>
      <c r="Q229" s="120"/>
      <c r="R229" s="121"/>
      <c r="S229" s="122"/>
      <c r="T229" s="34">
        <f t="shared" si="39"/>
        <v>0</v>
      </c>
      <c r="U229" s="34">
        <f t="shared" si="47"/>
        <v>0</v>
      </c>
      <c r="V229" s="34">
        <f t="shared" si="48"/>
        <v>0</v>
      </c>
      <c r="W229" s="34">
        <f t="shared" si="49"/>
        <v>0</v>
      </c>
      <c r="X229" s="48" t="s">
        <v>71</v>
      </c>
      <c r="Y229" s="48" t="s">
        <v>38</v>
      </c>
      <c r="Z229" s="49" t="s">
        <v>548</v>
      </c>
      <c r="AA229" s="49"/>
      <c r="AB229" s="33" t="s">
        <v>589</v>
      </c>
      <c r="AC229" s="33"/>
      <c r="AD229" s="50">
        <f t="shared" si="50"/>
        <v>0</v>
      </c>
      <c r="AE229" s="51">
        <f t="shared" si="40"/>
        <v>0</v>
      </c>
      <c r="AF229" s="51">
        <f t="shared" si="41"/>
        <v>0</v>
      </c>
      <c r="AG229" s="52">
        <v>9105</v>
      </c>
      <c r="AH229" s="52">
        <v>9101</v>
      </c>
      <c r="AI229" s="52">
        <v>1</v>
      </c>
      <c r="AJ229" s="53" t="s">
        <v>592</v>
      </c>
    </row>
    <row r="230" spans="1:36" ht="15.75" hidden="1" x14ac:dyDescent="0.25">
      <c r="A230" s="33" t="s">
        <v>593</v>
      </c>
      <c r="B230" s="34">
        <v>1585</v>
      </c>
      <c r="C230" s="34"/>
      <c r="D230" s="35">
        <v>164</v>
      </c>
      <c r="E230" s="36" t="str">
        <f t="shared" si="42"/>
        <v/>
      </c>
      <c r="F230" s="37" t="str">
        <f t="shared" si="43"/>
        <v/>
      </c>
      <c r="G230" s="38">
        <f t="shared" si="44"/>
        <v>0</v>
      </c>
      <c r="H230" s="38">
        <f t="shared" si="44"/>
        <v>0</v>
      </c>
      <c r="I230" s="39">
        <v>0</v>
      </c>
      <c r="J230" s="116">
        <f t="shared" si="51"/>
        <v>0</v>
      </c>
      <c r="K230" s="117">
        <v>0</v>
      </c>
      <c r="L230" s="118">
        <v>0.95499999999999996</v>
      </c>
      <c r="M230" s="39">
        <f t="shared" si="45"/>
        <v>0</v>
      </c>
      <c r="N230" s="116">
        <f t="shared" si="46"/>
        <v>0</v>
      </c>
      <c r="O230" s="43"/>
      <c r="P230" s="119"/>
      <c r="Q230" s="120"/>
      <c r="R230" s="121"/>
      <c r="S230" s="122"/>
      <c r="T230" s="34">
        <f t="shared" si="39"/>
        <v>0</v>
      </c>
      <c r="U230" s="34">
        <f t="shared" si="47"/>
        <v>0</v>
      </c>
      <c r="V230" s="34">
        <f t="shared" si="48"/>
        <v>0</v>
      </c>
      <c r="W230" s="34">
        <f t="shared" si="49"/>
        <v>0</v>
      </c>
      <c r="X230" s="48" t="s">
        <v>37</v>
      </c>
      <c r="Y230" s="48" t="s">
        <v>38</v>
      </c>
      <c r="Z230" s="49" t="s">
        <v>548</v>
      </c>
      <c r="AA230" s="49"/>
      <c r="AB230" s="33" t="s">
        <v>594</v>
      </c>
      <c r="AC230" s="33"/>
      <c r="AD230" s="50">
        <f t="shared" si="50"/>
        <v>0</v>
      </c>
      <c r="AE230" s="51">
        <f t="shared" si="40"/>
        <v>0</v>
      </c>
      <c r="AF230" s="51">
        <f t="shared" si="41"/>
        <v>0</v>
      </c>
      <c r="AG230" s="52">
        <v>1515</v>
      </c>
      <c r="AH230" s="52">
        <v>1585</v>
      </c>
      <c r="AI230" s="52">
        <v>1</v>
      </c>
      <c r="AJ230" s="53" t="s">
        <v>595</v>
      </c>
    </row>
    <row r="231" spans="1:36" ht="15.75" hidden="1" x14ac:dyDescent="0.25">
      <c r="A231" s="33" t="s">
        <v>596</v>
      </c>
      <c r="B231" s="34">
        <v>1586</v>
      </c>
      <c r="C231" s="34"/>
      <c r="D231" s="35">
        <v>84</v>
      </c>
      <c r="E231" s="36" t="str">
        <f t="shared" si="42"/>
        <v/>
      </c>
      <c r="F231" s="37" t="str">
        <f t="shared" si="43"/>
        <v/>
      </c>
      <c r="G231" s="38">
        <f t="shared" si="44"/>
        <v>0</v>
      </c>
      <c r="H231" s="38">
        <f t="shared" si="44"/>
        <v>0</v>
      </c>
      <c r="I231" s="39">
        <v>0</v>
      </c>
      <c r="J231" s="116">
        <f t="shared" si="51"/>
        <v>0</v>
      </c>
      <c r="K231" s="117">
        <v>0</v>
      </c>
      <c r="L231" s="118">
        <v>0.95499999999999996</v>
      </c>
      <c r="M231" s="39">
        <f t="shared" si="45"/>
        <v>0</v>
      </c>
      <c r="N231" s="116">
        <f t="shared" si="46"/>
        <v>0</v>
      </c>
      <c r="O231" s="43"/>
      <c r="P231" s="119"/>
      <c r="Q231" s="120"/>
      <c r="R231" s="121"/>
      <c r="S231" s="122"/>
      <c r="T231" s="34">
        <f t="shared" si="39"/>
        <v>0</v>
      </c>
      <c r="U231" s="34">
        <f t="shared" si="47"/>
        <v>0</v>
      </c>
      <c r="V231" s="34">
        <f t="shared" si="48"/>
        <v>0</v>
      </c>
      <c r="W231" s="34">
        <f t="shared" si="49"/>
        <v>0</v>
      </c>
      <c r="X231" s="48" t="s">
        <v>37</v>
      </c>
      <c r="Y231" s="48" t="s">
        <v>38</v>
      </c>
      <c r="Z231" s="49" t="s">
        <v>548</v>
      </c>
      <c r="AA231" s="49"/>
      <c r="AB231" s="33" t="s">
        <v>594</v>
      </c>
      <c r="AC231" s="33"/>
      <c r="AD231" s="50">
        <f t="shared" si="50"/>
        <v>0</v>
      </c>
      <c r="AE231" s="51">
        <f t="shared" si="40"/>
        <v>0</v>
      </c>
      <c r="AF231" s="51">
        <f t="shared" si="41"/>
        <v>0</v>
      </c>
      <c r="AG231" s="52">
        <v>1515</v>
      </c>
      <c r="AH231" s="52">
        <v>1586</v>
      </c>
      <c r="AI231" s="52">
        <v>1</v>
      </c>
      <c r="AJ231" s="53" t="s">
        <v>597</v>
      </c>
    </row>
    <row r="232" spans="1:36" ht="15.75" hidden="1" x14ac:dyDescent="0.25">
      <c r="A232" s="33" t="s">
        <v>598</v>
      </c>
      <c r="B232" s="34">
        <v>45065</v>
      </c>
      <c r="C232" s="34"/>
      <c r="D232" s="35">
        <v>80</v>
      </c>
      <c r="E232" s="36" t="str">
        <f t="shared" si="42"/>
        <v/>
      </c>
      <c r="F232" s="37" t="str">
        <f t="shared" si="43"/>
        <v/>
      </c>
      <c r="G232" s="38">
        <f t="shared" si="44"/>
        <v>0</v>
      </c>
      <c r="H232" s="38">
        <f t="shared" si="44"/>
        <v>0</v>
      </c>
      <c r="I232" s="39">
        <v>9</v>
      </c>
      <c r="J232" s="116">
        <f t="shared" si="51"/>
        <v>0.1125</v>
      </c>
      <c r="K232" s="117">
        <v>8.8230000000000004</v>
      </c>
      <c r="L232" s="118">
        <v>1.01</v>
      </c>
      <c r="M232" s="39">
        <f t="shared" si="45"/>
        <v>9</v>
      </c>
      <c r="N232" s="116">
        <f t="shared" si="46"/>
        <v>0.1125</v>
      </c>
      <c r="O232" s="43"/>
      <c r="P232" s="119"/>
      <c r="Q232" s="120"/>
      <c r="R232" s="121"/>
      <c r="S232" s="122"/>
      <c r="T232" s="34">
        <f t="shared" si="39"/>
        <v>0</v>
      </c>
      <c r="U232" s="34">
        <f t="shared" si="47"/>
        <v>0</v>
      </c>
      <c r="V232" s="34">
        <f t="shared" si="48"/>
        <v>0</v>
      </c>
      <c r="W232" s="34">
        <f t="shared" si="49"/>
        <v>0</v>
      </c>
      <c r="X232" s="48" t="s">
        <v>229</v>
      </c>
      <c r="Y232" s="48" t="s">
        <v>38</v>
      </c>
      <c r="Z232" s="49" t="s">
        <v>548</v>
      </c>
      <c r="AA232" s="49"/>
      <c r="AB232" s="33" t="s">
        <v>543</v>
      </c>
      <c r="AC232" s="33"/>
      <c r="AD232" s="50">
        <f t="shared" si="50"/>
        <v>0.1125</v>
      </c>
      <c r="AE232" s="51">
        <f t="shared" si="40"/>
        <v>0</v>
      </c>
      <c r="AF232" s="51">
        <f t="shared" si="41"/>
        <v>0</v>
      </c>
      <c r="AG232" s="52">
        <v>45065</v>
      </c>
      <c r="AH232" s="52">
        <v>45064</v>
      </c>
      <c r="AI232" s="52">
        <v>1</v>
      </c>
      <c r="AJ232" s="53" t="s">
        <v>599</v>
      </c>
    </row>
    <row r="233" spans="1:36" ht="15.75" hidden="1" x14ac:dyDescent="0.25">
      <c r="A233" s="33" t="s">
        <v>598</v>
      </c>
      <c r="B233" s="34">
        <v>45066</v>
      </c>
      <c r="C233" s="34"/>
      <c r="D233" s="35">
        <v>177</v>
      </c>
      <c r="E233" s="36" t="str">
        <f t="shared" si="42"/>
        <v/>
      </c>
      <c r="F233" s="37" t="str">
        <f t="shared" si="43"/>
        <v/>
      </c>
      <c r="G233" s="38">
        <f t="shared" si="44"/>
        <v>0</v>
      </c>
      <c r="H233" s="38">
        <f t="shared" si="44"/>
        <v>0</v>
      </c>
      <c r="I233" s="39">
        <v>21</v>
      </c>
      <c r="J233" s="116">
        <f t="shared" si="51"/>
        <v>0.11864406779661017</v>
      </c>
      <c r="K233" s="117">
        <v>0.52959999999999996</v>
      </c>
      <c r="L233" s="118">
        <v>1</v>
      </c>
      <c r="M233" s="39">
        <f t="shared" si="45"/>
        <v>21</v>
      </c>
      <c r="N233" s="116">
        <f t="shared" si="46"/>
        <v>0.11864406779661017</v>
      </c>
      <c r="O233" s="43"/>
      <c r="P233" s="119"/>
      <c r="Q233" s="120"/>
      <c r="R233" s="121"/>
      <c r="S233" s="122"/>
      <c r="T233" s="34">
        <f t="shared" si="39"/>
        <v>0</v>
      </c>
      <c r="U233" s="34">
        <f t="shared" si="47"/>
        <v>0</v>
      </c>
      <c r="V233" s="34">
        <f t="shared" si="48"/>
        <v>0</v>
      </c>
      <c r="W233" s="34">
        <f t="shared" si="49"/>
        <v>0</v>
      </c>
      <c r="X233" s="48" t="s">
        <v>229</v>
      </c>
      <c r="Y233" s="48" t="s">
        <v>38</v>
      </c>
      <c r="Z233" s="49" t="s">
        <v>548</v>
      </c>
      <c r="AA233" s="49"/>
      <c r="AB233" s="33" t="s">
        <v>543</v>
      </c>
      <c r="AC233" s="33"/>
      <c r="AD233" s="50">
        <f t="shared" si="50"/>
        <v>0.11864406779661017</v>
      </c>
      <c r="AE233" s="51">
        <f t="shared" si="40"/>
        <v>0</v>
      </c>
      <c r="AF233" s="51">
        <f t="shared" si="41"/>
        <v>0</v>
      </c>
      <c r="AG233" s="52">
        <v>45066</v>
      </c>
      <c r="AH233" s="52">
        <v>45064</v>
      </c>
      <c r="AI233" s="52">
        <v>1</v>
      </c>
      <c r="AJ233" s="53" t="s">
        <v>600</v>
      </c>
    </row>
    <row r="234" spans="1:36" ht="15.75" hidden="1" x14ac:dyDescent="0.25">
      <c r="A234" s="33" t="s">
        <v>601</v>
      </c>
      <c r="B234" s="34">
        <v>45067</v>
      </c>
      <c r="C234" s="34"/>
      <c r="D234" s="35">
        <v>54</v>
      </c>
      <c r="E234" s="36" t="str">
        <f t="shared" si="42"/>
        <v/>
      </c>
      <c r="F234" s="37" t="str">
        <f t="shared" si="43"/>
        <v/>
      </c>
      <c r="G234" s="38">
        <f t="shared" si="44"/>
        <v>0</v>
      </c>
      <c r="H234" s="38">
        <f t="shared" si="44"/>
        <v>0</v>
      </c>
      <c r="I234" s="39">
        <v>0</v>
      </c>
      <c r="J234" s="116">
        <f t="shared" si="51"/>
        <v>0</v>
      </c>
      <c r="K234" s="117">
        <v>0</v>
      </c>
      <c r="L234" s="118">
        <v>1</v>
      </c>
      <c r="M234" s="39">
        <f t="shared" si="45"/>
        <v>0</v>
      </c>
      <c r="N234" s="116">
        <f t="shared" si="46"/>
        <v>0</v>
      </c>
      <c r="O234" s="43"/>
      <c r="P234" s="119"/>
      <c r="Q234" s="120"/>
      <c r="R234" s="121"/>
      <c r="S234" s="122"/>
      <c r="T234" s="34">
        <f t="shared" si="39"/>
        <v>0</v>
      </c>
      <c r="U234" s="34">
        <f t="shared" si="47"/>
        <v>0</v>
      </c>
      <c r="V234" s="34">
        <f t="shared" si="48"/>
        <v>0</v>
      </c>
      <c r="W234" s="34">
        <f t="shared" si="49"/>
        <v>0</v>
      </c>
      <c r="X234" s="48" t="s">
        <v>229</v>
      </c>
      <c r="Y234" s="48" t="s">
        <v>38</v>
      </c>
      <c r="Z234" s="49" t="s">
        <v>548</v>
      </c>
      <c r="AA234" s="49"/>
      <c r="AB234" s="33" t="s">
        <v>543</v>
      </c>
      <c r="AC234" s="33"/>
      <c r="AD234" s="50">
        <f t="shared" si="50"/>
        <v>0</v>
      </c>
      <c r="AE234" s="51">
        <f t="shared" si="40"/>
        <v>0</v>
      </c>
      <c r="AF234" s="51">
        <f t="shared" si="41"/>
        <v>0</v>
      </c>
      <c r="AG234" s="52">
        <v>45067</v>
      </c>
      <c r="AH234" s="52">
        <v>45064</v>
      </c>
      <c r="AI234" s="52">
        <v>1</v>
      </c>
      <c r="AJ234" s="53" t="s">
        <v>602</v>
      </c>
    </row>
    <row r="235" spans="1:36" ht="15.75" hidden="1" x14ac:dyDescent="0.25">
      <c r="A235" s="33" t="s">
        <v>601</v>
      </c>
      <c r="B235" s="34">
        <v>45068</v>
      </c>
      <c r="C235" s="34"/>
      <c r="D235" s="35">
        <v>60</v>
      </c>
      <c r="E235" s="36" t="str">
        <f t="shared" si="42"/>
        <v/>
      </c>
      <c r="F235" s="37" t="str">
        <f t="shared" si="43"/>
        <v/>
      </c>
      <c r="G235" s="38">
        <f t="shared" si="44"/>
        <v>0</v>
      </c>
      <c r="H235" s="38">
        <f t="shared" si="44"/>
        <v>0</v>
      </c>
      <c r="I235" s="39">
        <v>0</v>
      </c>
      <c r="J235" s="116">
        <f t="shared" si="51"/>
        <v>0</v>
      </c>
      <c r="K235" s="117">
        <v>0</v>
      </c>
      <c r="L235" s="118">
        <v>1</v>
      </c>
      <c r="M235" s="39">
        <f t="shared" si="45"/>
        <v>0</v>
      </c>
      <c r="N235" s="116">
        <f t="shared" si="46"/>
        <v>0</v>
      </c>
      <c r="O235" s="43"/>
      <c r="P235" s="119"/>
      <c r="Q235" s="120"/>
      <c r="R235" s="121"/>
      <c r="S235" s="122"/>
      <c r="T235" s="34">
        <f t="shared" si="39"/>
        <v>0</v>
      </c>
      <c r="U235" s="34">
        <f t="shared" si="47"/>
        <v>0</v>
      </c>
      <c r="V235" s="34">
        <f t="shared" si="48"/>
        <v>0</v>
      </c>
      <c r="W235" s="34">
        <f t="shared" si="49"/>
        <v>0</v>
      </c>
      <c r="X235" s="48" t="s">
        <v>229</v>
      </c>
      <c r="Y235" s="48" t="s">
        <v>38</v>
      </c>
      <c r="Z235" s="49" t="s">
        <v>548</v>
      </c>
      <c r="AA235" s="49"/>
      <c r="AB235" s="33" t="s">
        <v>543</v>
      </c>
      <c r="AC235" s="33"/>
      <c r="AD235" s="50">
        <f t="shared" si="50"/>
        <v>0</v>
      </c>
      <c r="AE235" s="51">
        <f t="shared" si="40"/>
        <v>0</v>
      </c>
      <c r="AF235" s="51">
        <f t="shared" si="41"/>
        <v>0</v>
      </c>
      <c r="AG235" s="52">
        <v>45068</v>
      </c>
      <c r="AH235" s="52">
        <v>45064</v>
      </c>
      <c r="AI235" s="52">
        <v>1</v>
      </c>
      <c r="AJ235" s="53" t="s">
        <v>603</v>
      </c>
    </row>
    <row r="236" spans="1:36" ht="15.75" x14ac:dyDescent="0.25">
      <c r="A236" s="33" t="s">
        <v>604</v>
      </c>
      <c r="B236" s="34">
        <v>4300</v>
      </c>
      <c r="C236" s="136"/>
      <c r="D236" s="35">
        <v>128</v>
      </c>
      <c r="E236" s="36" t="str">
        <f t="shared" si="42"/>
        <v/>
      </c>
      <c r="F236" s="37" t="str">
        <f t="shared" si="43"/>
        <v/>
      </c>
      <c r="G236" s="38">
        <f t="shared" si="44"/>
        <v>0</v>
      </c>
      <c r="H236" s="38">
        <f t="shared" si="44"/>
        <v>0</v>
      </c>
      <c r="I236" s="39">
        <v>0</v>
      </c>
      <c r="J236" s="116">
        <f t="shared" si="51"/>
        <v>0</v>
      </c>
      <c r="K236" s="117">
        <v>0</v>
      </c>
      <c r="L236" s="118">
        <v>0.997</v>
      </c>
      <c r="M236" s="39">
        <f t="shared" si="45"/>
        <v>0</v>
      </c>
      <c r="N236" s="116">
        <f t="shared" si="46"/>
        <v>0</v>
      </c>
      <c r="O236" s="43"/>
      <c r="P236" s="119"/>
      <c r="Q236" s="120"/>
      <c r="R236" s="121"/>
      <c r="S236" s="122"/>
      <c r="T236" s="34">
        <f t="shared" si="39"/>
        <v>0</v>
      </c>
      <c r="U236" s="34">
        <f t="shared" si="47"/>
        <v>0</v>
      </c>
      <c r="V236" s="34">
        <f t="shared" si="48"/>
        <v>0</v>
      </c>
      <c r="W236" s="34">
        <f t="shared" si="49"/>
        <v>0</v>
      </c>
      <c r="X236" s="48" t="s">
        <v>71</v>
      </c>
      <c r="Y236" s="48" t="s">
        <v>38</v>
      </c>
      <c r="Z236" s="49" t="s">
        <v>548</v>
      </c>
      <c r="AA236" s="49"/>
      <c r="AB236" s="33" t="s">
        <v>589</v>
      </c>
      <c r="AC236" s="33"/>
      <c r="AD236" s="50">
        <f t="shared" si="50"/>
        <v>0</v>
      </c>
      <c r="AE236" s="51">
        <f t="shared" si="40"/>
        <v>0</v>
      </c>
      <c r="AF236" s="51">
        <f t="shared" si="41"/>
        <v>0</v>
      </c>
      <c r="AG236" s="52">
        <v>4300</v>
      </c>
      <c r="AH236" s="52">
        <v>4302</v>
      </c>
      <c r="AI236" s="52">
        <v>1</v>
      </c>
      <c r="AJ236" s="53" t="s">
        <v>605</v>
      </c>
    </row>
    <row r="237" spans="1:36" ht="15.75" x14ac:dyDescent="0.25">
      <c r="A237" s="33" t="s">
        <v>606</v>
      </c>
      <c r="B237" s="34">
        <v>3524</v>
      </c>
      <c r="C237" s="136"/>
      <c r="D237" s="35">
        <v>64</v>
      </c>
      <c r="E237" s="36" t="str">
        <f t="shared" si="42"/>
        <v/>
      </c>
      <c r="F237" s="37" t="str">
        <f t="shared" si="43"/>
        <v/>
      </c>
      <c r="G237" s="38">
        <f t="shared" si="44"/>
        <v>0</v>
      </c>
      <c r="H237" s="38">
        <f t="shared" si="44"/>
        <v>0</v>
      </c>
      <c r="I237" s="39">
        <v>0</v>
      </c>
      <c r="J237" s="116">
        <f t="shared" si="51"/>
        <v>0</v>
      </c>
      <c r="K237" s="117">
        <v>0</v>
      </c>
      <c r="L237" s="118">
        <v>0.997</v>
      </c>
      <c r="M237" s="39">
        <f t="shared" si="45"/>
        <v>0</v>
      </c>
      <c r="N237" s="116">
        <f t="shared" si="46"/>
        <v>0</v>
      </c>
      <c r="O237" s="43"/>
      <c r="P237" s="119"/>
      <c r="Q237" s="120"/>
      <c r="R237" s="121"/>
      <c r="S237" s="122"/>
      <c r="T237" s="34">
        <f t="shared" si="39"/>
        <v>0</v>
      </c>
      <c r="U237" s="34">
        <f t="shared" si="47"/>
        <v>0</v>
      </c>
      <c r="V237" s="34">
        <f t="shared" si="48"/>
        <v>0</v>
      </c>
      <c r="W237" s="34">
        <f t="shared" si="49"/>
        <v>0</v>
      </c>
      <c r="X237" s="48" t="s">
        <v>71</v>
      </c>
      <c r="Y237" s="48" t="s">
        <v>38</v>
      </c>
      <c r="Z237" s="49" t="s">
        <v>548</v>
      </c>
      <c r="AA237" s="49"/>
      <c r="AB237" s="33" t="s">
        <v>589</v>
      </c>
      <c r="AC237" s="33"/>
      <c r="AD237" s="50">
        <f t="shared" si="50"/>
        <v>0</v>
      </c>
      <c r="AE237" s="51">
        <f t="shared" si="40"/>
        <v>0</v>
      </c>
      <c r="AF237" s="51">
        <f t="shared" si="41"/>
        <v>0</v>
      </c>
      <c r="AG237" s="52">
        <v>3524</v>
      </c>
      <c r="AH237" s="52">
        <v>4302</v>
      </c>
      <c r="AI237" s="52">
        <v>1</v>
      </c>
      <c r="AJ237" s="53" t="s">
        <v>607</v>
      </c>
    </row>
    <row r="238" spans="1:36" ht="15.75" x14ac:dyDescent="0.25">
      <c r="A238" s="33" t="s">
        <v>608</v>
      </c>
      <c r="B238" s="34">
        <v>4301</v>
      </c>
      <c r="C238" s="136"/>
      <c r="D238" s="35">
        <v>128</v>
      </c>
      <c r="E238" s="36" t="str">
        <f t="shared" si="42"/>
        <v/>
      </c>
      <c r="F238" s="37" t="str">
        <f t="shared" si="43"/>
        <v/>
      </c>
      <c r="G238" s="38">
        <f t="shared" si="44"/>
        <v>0</v>
      </c>
      <c r="H238" s="38">
        <f t="shared" si="44"/>
        <v>0</v>
      </c>
      <c r="I238" s="39">
        <v>0</v>
      </c>
      <c r="J238" s="116">
        <f t="shared" si="51"/>
        <v>0</v>
      </c>
      <c r="K238" s="117">
        <v>0</v>
      </c>
      <c r="L238" s="118">
        <v>0.997</v>
      </c>
      <c r="M238" s="39">
        <f t="shared" si="45"/>
        <v>0</v>
      </c>
      <c r="N238" s="116">
        <f t="shared" si="46"/>
        <v>0</v>
      </c>
      <c r="O238" s="43"/>
      <c r="P238" s="119"/>
      <c r="Q238" s="120"/>
      <c r="R238" s="121"/>
      <c r="S238" s="122"/>
      <c r="T238" s="34">
        <f t="shared" si="39"/>
        <v>0</v>
      </c>
      <c r="U238" s="34">
        <f t="shared" si="47"/>
        <v>0</v>
      </c>
      <c r="V238" s="34">
        <f t="shared" si="48"/>
        <v>0</v>
      </c>
      <c r="W238" s="34">
        <f t="shared" si="49"/>
        <v>0</v>
      </c>
      <c r="X238" s="48" t="s">
        <v>71</v>
      </c>
      <c r="Y238" s="48" t="s">
        <v>38</v>
      </c>
      <c r="Z238" s="49" t="s">
        <v>548</v>
      </c>
      <c r="AA238" s="49"/>
      <c r="AB238" s="33" t="s">
        <v>589</v>
      </c>
      <c r="AC238" s="33"/>
      <c r="AD238" s="50">
        <f t="shared" si="50"/>
        <v>0</v>
      </c>
      <c r="AE238" s="51">
        <f t="shared" si="40"/>
        <v>0</v>
      </c>
      <c r="AF238" s="51">
        <f t="shared" si="41"/>
        <v>0</v>
      </c>
      <c r="AG238" s="52">
        <v>4301</v>
      </c>
      <c r="AH238" s="52">
        <v>4303</v>
      </c>
      <c r="AI238" s="52">
        <v>1</v>
      </c>
      <c r="AJ238" s="53" t="s">
        <v>609</v>
      </c>
    </row>
    <row r="239" spans="1:36" ht="15.75" x14ac:dyDescent="0.25">
      <c r="A239" s="33" t="s">
        <v>610</v>
      </c>
      <c r="B239" s="34">
        <v>3525</v>
      </c>
      <c r="C239" s="136"/>
      <c r="D239" s="35">
        <v>64</v>
      </c>
      <c r="E239" s="36" t="str">
        <f t="shared" si="42"/>
        <v/>
      </c>
      <c r="F239" s="37" t="str">
        <f t="shared" si="43"/>
        <v/>
      </c>
      <c r="G239" s="38">
        <f t="shared" si="44"/>
        <v>0</v>
      </c>
      <c r="H239" s="38">
        <f t="shared" si="44"/>
        <v>0</v>
      </c>
      <c r="I239" s="39">
        <v>0</v>
      </c>
      <c r="J239" s="116">
        <f t="shared" si="51"/>
        <v>0</v>
      </c>
      <c r="K239" s="117">
        <v>0</v>
      </c>
      <c r="L239" s="118">
        <v>0.997</v>
      </c>
      <c r="M239" s="39">
        <f t="shared" si="45"/>
        <v>0</v>
      </c>
      <c r="N239" s="116">
        <f t="shared" si="46"/>
        <v>0</v>
      </c>
      <c r="O239" s="43"/>
      <c r="P239" s="119"/>
      <c r="Q239" s="120"/>
      <c r="R239" s="121"/>
      <c r="S239" s="122"/>
      <c r="T239" s="34">
        <f t="shared" si="39"/>
        <v>0</v>
      </c>
      <c r="U239" s="34">
        <f t="shared" si="47"/>
        <v>0</v>
      </c>
      <c r="V239" s="34">
        <f t="shared" si="48"/>
        <v>0</v>
      </c>
      <c r="W239" s="34">
        <f t="shared" si="49"/>
        <v>0</v>
      </c>
      <c r="X239" s="48" t="s">
        <v>71</v>
      </c>
      <c r="Y239" s="48" t="s">
        <v>38</v>
      </c>
      <c r="Z239" s="49" t="s">
        <v>548</v>
      </c>
      <c r="AA239" s="49"/>
      <c r="AB239" s="33" t="s">
        <v>589</v>
      </c>
      <c r="AC239" s="33"/>
      <c r="AD239" s="50">
        <f t="shared" si="50"/>
        <v>0</v>
      </c>
      <c r="AE239" s="51">
        <f t="shared" si="40"/>
        <v>0</v>
      </c>
      <c r="AF239" s="51">
        <f t="shared" si="41"/>
        <v>0</v>
      </c>
      <c r="AG239" s="52">
        <v>3525</v>
      </c>
      <c r="AH239" s="52">
        <v>4303</v>
      </c>
      <c r="AI239" s="52">
        <v>1</v>
      </c>
      <c r="AJ239" s="53" t="s">
        <v>611</v>
      </c>
    </row>
    <row r="240" spans="1:36" ht="15.75" hidden="1" x14ac:dyDescent="0.25">
      <c r="A240" s="33" t="s">
        <v>612</v>
      </c>
      <c r="B240" s="34">
        <v>45069</v>
      </c>
      <c r="C240" s="34"/>
      <c r="D240" s="35">
        <v>36</v>
      </c>
      <c r="E240" s="36" t="str">
        <f t="shared" si="42"/>
        <v/>
      </c>
      <c r="F240" s="37" t="str">
        <f t="shared" si="43"/>
        <v/>
      </c>
      <c r="G240" s="38">
        <f t="shared" si="44"/>
        <v>0</v>
      </c>
      <c r="H240" s="38">
        <f t="shared" si="44"/>
        <v>0</v>
      </c>
      <c r="I240" s="39">
        <v>0</v>
      </c>
      <c r="J240" s="116">
        <f t="shared" si="51"/>
        <v>0</v>
      </c>
      <c r="K240" s="117">
        <v>0</v>
      </c>
      <c r="L240" s="118">
        <v>1</v>
      </c>
      <c r="M240" s="39">
        <f t="shared" si="45"/>
        <v>0</v>
      </c>
      <c r="N240" s="116">
        <f t="shared" si="46"/>
        <v>0</v>
      </c>
      <c r="O240" s="43"/>
      <c r="P240" s="119"/>
      <c r="Q240" s="120"/>
      <c r="R240" s="121"/>
      <c r="S240" s="122"/>
      <c r="T240" s="34">
        <f t="shared" si="39"/>
        <v>0</v>
      </c>
      <c r="U240" s="34">
        <f t="shared" si="47"/>
        <v>0</v>
      </c>
      <c r="V240" s="34">
        <f t="shared" si="48"/>
        <v>0</v>
      </c>
      <c r="W240" s="34">
        <f t="shared" si="49"/>
        <v>0</v>
      </c>
      <c r="X240" s="48" t="s">
        <v>229</v>
      </c>
      <c r="Y240" s="48" t="s">
        <v>38</v>
      </c>
      <c r="Z240" s="49" t="s">
        <v>548</v>
      </c>
      <c r="AA240" s="49"/>
      <c r="AB240" s="33" t="s">
        <v>543</v>
      </c>
      <c r="AC240" s="33"/>
      <c r="AD240" s="50">
        <f t="shared" si="50"/>
        <v>0</v>
      </c>
      <c r="AE240" s="51">
        <f t="shared" si="40"/>
        <v>0</v>
      </c>
      <c r="AF240" s="51">
        <f t="shared" si="41"/>
        <v>0</v>
      </c>
      <c r="AG240" s="52">
        <v>45069</v>
      </c>
      <c r="AH240" s="52">
        <v>45064</v>
      </c>
      <c r="AI240" s="52">
        <v>1</v>
      </c>
      <c r="AJ240" s="53" t="s">
        <v>613</v>
      </c>
    </row>
    <row r="241" spans="1:36" ht="15.75" hidden="1" x14ac:dyDescent="0.25">
      <c r="A241" s="33" t="s">
        <v>612</v>
      </c>
      <c r="B241" s="34">
        <v>45070</v>
      </c>
      <c r="C241" s="34"/>
      <c r="D241" s="35">
        <v>36</v>
      </c>
      <c r="E241" s="36" t="str">
        <f t="shared" si="42"/>
        <v/>
      </c>
      <c r="F241" s="37" t="str">
        <f t="shared" si="43"/>
        <v/>
      </c>
      <c r="G241" s="38">
        <f t="shared" si="44"/>
        <v>0</v>
      </c>
      <c r="H241" s="38">
        <f t="shared" si="44"/>
        <v>0</v>
      </c>
      <c r="I241" s="39">
        <v>0</v>
      </c>
      <c r="J241" s="116">
        <f t="shared" si="51"/>
        <v>0</v>
      </c>
      <c r="K241" s="117">
        <v>0</v>
      </c>
      <c r="L241" s="118">
        <v>1</v>
      </c>
      <c r="M241" s="39">
        <f t="shared" si="45"/>
        <v>0</v>
      </c>
      <c r="N241" s="116">
        <f t="shared" si="46"/>
        <v>0</v>
      </c>
      <c r="O241" s="43"/>
      <c r="P241" s="119"/>
      <c r="Q241" s="120"/>
      <c r="R241" s="121"/>
      <c r="S241" s="122"/>
      <c r="T241" s="34">
        <f t="shared" si="39"/>
        <v>0</v>
      </c>
      <c r="U241" s="34">
        <f t="shared" si="47"/>
        <v>0</v>
      </c>
      <c r="V241" s="34">
        <f t="shared" si="48"/>
        <v>0</v>
      </c>
      <c r="W241" s="34">
        <f t="shared" si="49"/>
        <v>0</v>
      </c>
      <c r="X241" s="48" t="s">
        <v>229</v>
      </c>
      <c r="Y241" s="48" t="s">
        <v>38</v>
      </c>
      <c r="Z241" s="49" t="s">
        <v>548</v>
      </c>
      <c r="AA241" s="49"/>
      <c r="AB241" s="33" t="s">
        <v>543</v>
      </c>
      <c r="AC241" s="33"/>
      <c r="AD241" s="50">
        <f t="shared" si="50"/>
        <v>0</v>
      </c>
      <c r="AE241" s="51">
        <f t="shared" si="40"/>
        <v>0</v>
      </c>
      <c r="AF241" s="51">
        <f t="shared" si="41"/>
        <v>0</v>
      </c>
      <c r="AG241" s="52">
        <v>45070</v>
      </c>
      <c r="AH241" s="52">
        <v>45064</v>
      </c>
      <c r="AI241" s="52">
        <v>1</v>
      </c>
      <c r="AJ241" s="53" t="s">
        <v>614</v>
      </c>
    </row>
    <row r="242" spans="1:36" ht="15.75" hidden="1" x14ac:dyDescent="0.25">
      <c r="A242" s="33" t="s">
        <v>612</v>
      </c>
      <c r="B242" s="34">
        <v>45071</v>
      </c>
      <c r="C242" s="34"/>
      <c r="D242" s="35">
        <v>42</v>
      </c>
      <c r="E242" s="36" t="str">
        <f t="shared" si="42"/>
        <v/>
      </c>
      <c r="F242" s="37" t="str">
        <f t="shared" si="43"/>
        <v/>
      </c>
      <c r="G242" s="38">
        <f t="shared" si="44"/>
        <v>0</v>
      </c>
      <c r="H242" s="38">
        <f t="shared" si="44"/>
        <v>0</v>
      </c>
      <c r="I242" s="39">
        <v>0</v>
      </c>
      <c r="J242" s="116">
        <f t="shared" si="51"/>
        <v>0</v>
      </c>
      <c r="K242" s="117">
        <v>0</v>
      </c>
      <c r="L242" s="118">
        <v>1</v>
      </c>
      <c r="M242" s="39">
        <f t="shared" si="45"/>
        <v>0</v>
      </c>
      <c r="N242" s="116">
        <f t="shared" si="46"/>
        <v>0</v>
      </c>
      <c r="O242" s="43"/>
      <c r="P242" s="119"/>
      <c r="Q242" s="120"/>
      <c r="R242" s="121"/>
      <c r="S242" s="122"/>
      <c r="T242" s="34">
        <f t="shared" si="39"/>
        <v>0</v>
      </c>
      <c r="U242" s="34">
        <f t="shared" si="47"/>
        <v>0</v>
      </c>
      <c r="V242" s="34">
        <f t="shared" si="48"/>
        <v>0</v>
      </c>
      <c r="W242" s="34">
        <f t="shared" si="49"/>
        <v>0</v>
      </c>
      <c r="X242" s="48" t="s">
        <v>229</v>
      </c>
      <c r="Y242" s="48" t="s">
        <v>38</v>
      </c>
      <c r="Z242" s="49" t="s">
        <v>548</v>
      </c>
      <c r="AA242" s="49"/>
      <c r="AB242" s="33" t="s">
        <v>543</v>
      </c>
      <c r="AC242" s="33"/>
      <c r="AD242" s="50">
        <f t="shared" si="50"/>
        <v>0</v>
      </c>
      <c r="AE242" s="51">
        <f t="shared" si="40"/>
        <v>0</v>
      </c>
      <c r="AF242" s="51">
        <f t="shared" si="41"/>
        <v>0</v>
      </c>
      <c r="AG242" s="52">
        <v>45071</v>
      </c>
      <c r="AH242" s="52">
        <v>45064</v>
      </c>
      <c r="AI242" s="52">
        <v>1</v>
      </c>
      <c r="AJ242" s="53" t="s">
        <v>615</v>
      </c>
    </row>
    <row r="243" spans="1:36" ht="15.75" hidden="1" x14ac:dyDescent="0.25">
      <c r="A243" s="33" t="s">
        <v>616</v>
      </c>
      <c r="B243" s="34">
        <v>45072</v>
      </c>
      <c r="C243" s="34"/>
      <c r="D243" s="35">
        <v>78</v>
      </c>
      <c r="E243" s="36" t="str">
        <f t="shared" si="42"/>
        <v/>
      </c>
      <c r="F243" s="37" t="str">
        <f t="shared" si="43"/>
        <v/>
      </c>
      <c r="G243" s="38">
        <f t="shared" si="44"/>
        <v>0</v>
      </c>
      <c r="H243" s="38">
        <f t="shared" si="44"/>
        <v>0</v>
      </c>
      <c r="I243" s="39">
        <v>0</v>
      </c>
      <c r="J243" s="116">
        <f t="shared" si="51"/>
        <v>0</v>
      </c>
      <c r="K243" s="117">
        <v>0</v>
      </c>
      <c r="L243" s="118">
        <v>1</v>
      </c>
      <c r="M243" s="39">
        <f t="shared" si="45"/>
        <v>0</v>
      </c>
      <c r="N243" s="116">
        <f t="shared" si="46"/>
        <v>0</v>
      </c>
      <c r="O243" s="43"/>
      <c r="P243" s="119"/>
      <c r="Q243" s="120"/>
      <c r="R243" s="121"/>
      <c r="S243" s="122"/>
      <c r="T243" s="34">
        <f t="shared" si="39"/>
        <v>0</v>
      </c>
      <c r="U243" s="34">
        <f t="shared" si="47"/>
        <v>0</v>
      </c>
      <c r="V243" s="34">
        <f t="shared" si="48"/>
        <v>0</v>
      </c>
      <c r="W243" s="34">
        <f t="shared" si="49"/>
        <v>0</v>
      </c>
      <c r="X243" s="48" t="s">
        <v>229</v>
      </c>
      <c r="Y243" s="48" t="s">
        <v>38</v>
      </c>
      <c r="Z243" s="49" t="s">
        <v>548</v>
      </c>
      <c r="AA243" s="49"/>
      <c r="AB243" s="33" t="s">
        <v>283</v>
      </c>
      <c r="AC243" s="33"/>
      <c r="AD243" s="50">
        <f t="shared" si="50"/>
        <v>0</v>
      </c>
      <c r="AE243" s="51">
        <f t="shared" si="40"/>
        <v>0</v>
      </c>
      <c r="AF243" s="51">
        <f t="shared" si="41"/>
        <v>0</v>
      </c>
      <c r="AG243" s="52">
        <v>45072</v>
      </c>
      <c r="AH243" s="52">
        <v>45064</v>
      </c>
      <c r="AI243" s="52">
        <v>1</v>
      </c>
      <c r="AJ243" s="53" t="s">
        <v>617</v>
      </c>
    </row>
    <row r="244" spans="1:36" ht="15.75" hidden="1" x14ac:dyDescent="0.25">
      <c r="A244" s="33" t="s">
        <v>618</v>
      </c>
      <c r="B244" s="34">
        <v>4100</v>
      </c>
      <c r="C244" s="34"/>
      <c r="D244" s="35">
        <v>43</v>
      </c>
      <c r="E244" s="36" t="str">
        <f t="shared" si="42"/>
        <v/>
      </c>
      <c r="F244" s="37" t="str">
        <f t="shared" si="43"/>
        <v/>
      </c>
      <c r="G244" s="38">
        <f t="shared" si="44"/>
        <v>0</v>
      </c>
      <c r="H244" s="38">
        <f t="shared" si="44"/>
        <v>0</v>
      </c>
      <c r="I244" s="39">
        <v>0</v>
      </c>
      <c r="J244" s="116">
        <f t="shared" si="51"/>
        <v>0</v>
      </c>
      <c r="K244" s="117">
        <v>0</v>
      </c>
      <c r="L244" s="118">
        <v>0.96099999999999997</v>
      </c>
      <c r="M244" s="39">
        <f t="shared" si="45"/>
        <v>0</v>
      </c>
      <c r="N244" s="116">
        <f t="shared" si="46"/>
        <v>0</v>
      </c>
      <c r="O244" s="43"/>
      <c r="P244" s="119"/>
      <c r="Q244" s="120"/>
      <c r="R244" s="121"/>
      <c r="S244" s="122"/>
      <c r="T244" s="34">
        <f t="shared" si="39"/>
        <v>0</v>
      </c>
      <c r="U244" s="34">
        <f t="shared" si="47"/>
        <v>0</v>
      </c>
      <c r="V244" s="34">
        <f t="shared" si="48"/>
        <v>0</v>
      </c>
      <c r="W244" s="34">
        <f t="shared" si="49"/>
        <v>0</v>
      </c>
      <c r="X244" s="48" t="s">
        <v>37</v>
      </c>
      <c r="Y244" s="48" t="s">
        <v>38</v>
      </c>
      <c r="Z244" s="49" t="s">
        <v>548</v>
      </c>
      <c r="AA244" s="49"/>
      <c r="AB244" s="33" t="s">
        <v>594</v>
      </c>
      <c r="AC244" s="33"/>
      <c r="AD244" s="50">
        <f t="shared" si="50"/>
        <v>0</v>
      </c>
      <c r="AE244" s="51">
        <f t="shared" si="40"/>
        <v>0</v>
      </c>
      <c r="AF244" s="51">
        <f t="shared" si="41"/>
        <v>0</v>
      </c>
      <c r="AG244" s="52">
        <v>4101</v>
      </c>
      <c r="AH244" s="52">
        <v>4100</v>
      </c>
      <c r="AI244" s="52">
        <v>1</v>
      </c>
      <c r="AJ244" s="53" t="s">
        <v>619</v>
      </c>
    </row>
    <row r="245" spans="1:36" ht="15.75" hidden="1" x14ac:dyDescent="0.25">
      <c r="A245" s="33" t="s">
        <v>618</v>
      </c>
      <c r="B245" s="34">
        <v>4180</v>
      </c>
      <c r="C245" s="34"/>
      <c r="D245" s="35">
        <v>43</v>
      </c>
      <c r="E245" s="36" t="str">
        <f t="shared" si="42"/>
        <v/>
      </c>
      <c r="F245" s="37" t="str">
        <f t="shared" si="43"/>
        <v/>
      </c>
      <c r="G245" s="38">
        <f t="shared" si="44"/>
        <v>0</v>
      </c>
      <c r="H245" s="38">
        <f t="shared" si="44"/>
        <v>0</v>
      </c>
      <c r="I245" s="39">
        <v>0</v>
      </c>
      <c r="J245" s="116">
        <f t="shared" si="51"/>
        <v>0</v>
      </c>
      <c r="K245" s="117">
        <v>0</v>
      </c>
      <c r="L245" s="118">
        <v>1</v>
      </c>
      <c r="M245" s="39">
        <f t="shared" si="45"/>
        <v>0</v>
      </c>
      <c r="N245" s="116">
        <f t="shared" si="46"/>
        <v>0</v>
      </c>
      <c r="O245" s="43"/>
      <c r="P245" s="119"/>
      <c r="Q245" s="120"/>
      <c r="R245" s="121"/>
      <c r="S245" s="122"/>
      <c r="T245" s="34">
        <f t="shared" si="39"/>
        <v>0</v>
      </c>
      <c r="U245" s="34">
        <f t="shared" si="47"/>
        <v>0</v>
      </c>
      <c r="V245" s="34">
        <f t="shared" si="48"/>
        <v>0</v>
      </c>
      <c r="W245" s="34">
        <f t="shared" si="49"/>
        <v>0</v>
      </c>
      <c r="X245" s="48" t="s">
        <v>37</v>
      </c>
      <c r="Y245" s="48" t="s">
        <v>38</v>
      </c>
      <c r="Z245" s="49" t="s">
        <v>548</v>
      </c>
      <c r="AA245" s="49"/>
      <c r="AB245" s="33" t="s">
        <v>594</v>
      </c>
      <c r="AC245" s="33"/>
      <c r="AD245" s="50">
        <f t="shared" si="50"/>
        <v>0</v>
      </c>
      <c r="AE245" s="51">
        <f t="shared" si="40"/>
        <v>0</v>
      </c>
      <c r="AF245" s="51">
        <f t="shared" si="41"/>
        <v>0</v>
      </c>
      <c r="AG245" s="52">
        <v>4182</v>
      </c>
      <c r="AH245" s="52">
        <v>4180</v>
      </c>
      <c r="AI245" s="52">
        <v>1</v>
      </c>
      <c r="AJ245" s="53" t="s">
        <v>620</v>
      </c>
    </row>
    <row r="246" spans="1:36" ht="15.75" hidden="1" x14ac:dyDescent="0.25">
      <c r="A246" s="33" t="s">
        <v>621</v>
      </c>
      <c r="B246" s="34">
        <v>3974</v>
      </c>
      <c r="C246" s="34"/>
      <c r="D246" s="35">
        <v>182</v>
      </c>
      <c r="E246" s="36" t="str">
        <f t="shared" si="42"/>
        <v/>
      </c>
      <c r="F246" s="37" t="str">
        <f t="shared" si="43"/>
        <v/>
      </c>
      <c r="G246" s="38">
        <f t="shared" si="44"/>
        <v>0</v>
      </c>
      <c r="H246" s="38">
        <f t="shared" si="44"/>
        <v>0</v>
      </c>
      <c r="I246" s="39">
        <v>0</v>
      </c>
      <c r="J246" s="116">
        <f t="shared" si="51"/>
        <v>0</v>
      </c>
      <c r="K246" s="117">
        <v>0</v>
      </c>
      <c r="L246" s="118">
        <v>1</v>
      </c>
      <c r="M246" s="39">
        <f t="shared" si="45"/>
        <v>0</v>
      </c>
      <c r="N246" s="116">
        <f t="shared" si="46"/>
        <v>0</v>
      </c>
      <c r="O246" s="43"/>
      <c r="P246" s="119"/>
      <c r="Q246" s="120"/>
      <c r="R246" s="121"/>
      <c r="S246" s="122"/>
      <c r="T246" s="34">
        <f t="shared" si="39"/>
        <v>0</v>
      </c>
      <c r="U246" s="34">
        <f t="shared" si="47"/>
        <v>0</v>
      </c>
      <c r="V246" s="34">
        <f t="shared" si="48"/>
        <v>0</v>
      </c>
      <c r="W246" s="34">
        <f t="shared" si="49"/>
        <v>0</v>
      </c>
      <c r="X246" s="48" t="s">
        <v>229</v>
      </c>
      <c r="Y246" s="48" t="s">
        <v>38</v>
      </c>
      <c r="Z246" s="49" t="s">
        <v>548</v>
      </c>
      <c r="AA246" s="49"/>
      <c r="AB246" s="33" t="s">
        <v>543</v>
      </c>
      <c r="AC246" s="33"/>
      <c r="AD246" s="50">
        <f t="shared" si="50"/>
        <v>0</v>
      </c>
      <c r="AE246" s="51">
        <f t="shared" si="40"/>
        <v>0</v>
      </c>
      <c r="AF246" s="51">
        <f t="shared" si="41"/>
        <v>0</v>
      </c>
      <c r="AG246" s="52">
        <v>3974</v>
      </c>
      <c r="AH246" s="52">
        <v>3975</v>
      </c>
      <c r="AI246" s="52">
        <v>1</v>
      </c>
      <c r="AJ246" s="53" t="s">
        <v>622</v>
      </c>
    </row>
    <row r="247" spans="1:36" ht="15.75" hidden="1" x14ac:dyDescent="0.25">
      <c r="A247" s="33" t="s">
        <v>621</v>
      </c>
      <c r="B247" s="34">
        <v>44892</v>
      </c>
      <c r="C247" s="34"/>
      <c r="D247" s="35">
        <v>182</v>
      </c>
      <c r="E247" s="36" t="str">
        <f t="shared" si="42"/>
        <v/>
      </c>
      <c r="F247" s="37" t="str">
        <f t="shared" si="43"/>
        <v/>
      </c>
      <c r="G247" s="38">
        <f t="shared" si="44"/>
        <v>0</v>
      </c>
      <c r="H247" s="38">
        <f t="shared" si="44"/>
        <v>0</v>
      </c>
      <c r="I247" s="39">
        <v>0</v>
      </c>
      <c r="J247" s="116">
        <f t="shared" si="51"/>
        <v>0</v>
      </c>
      <c r="K247" s="117">
        <v>0</v>
      </c>
      <c r="L247" s="118">
        <v>1</v>
      </c>
      <c r="M247" s="39">
        <f t="shared" si="45"/>
        <v>0</v>
      </c>
      <c r="N247" s="116">
        <f t="shared" si="46"/>
        <v>0</v>
      </c>
      <c r="O247" s="43"/>
      <c r="P247" s="119"/>
      <c r="Q247" s="120"/>
      <c r="R247" s="121"/>
      <c r="S247" s="122"/>
      <c r="T247" s="34">
        <f t="shared" si="39"/>
        <v>0</v>
      </c>
      <c r="U247" s="34">
        <f t="shared" si="47"/>
        <v>0</v>
      </c>
      <c r="V247" s="34">
        <f t="shared" si="48"/>
        <v>0</v>
      </c>
      <c r="W247" s="34">
        <f t="shared" si="49"/>
        <v>0</v>
      </c>
      <c r="X247" s="48" t="s">
        <v>229</v>
      </c>
      <c r="Y247" s="48" t="s">
        <v>38</v>
      </c>
      <c r="Z247" s="49" t="s">
        <v>548</v>
      </c>
      <c r="AA247" s="49"/>
      <c r="AB247" s="33" t="s">
        <v>543</v>
      </c>
      <c r="AC247" s="33"/>
      <c r="AD247" s="50">
        <f t="shared" si="50"/>
        <v>0</v>
      </c>
      <c r="AE247" s="51">
        <f t="shared" si="40"/>
        <v>0</v>
      </c>
      <c r="AF247" s="51">
        <f t="shared" si="41"/>
        <v>0</v>
      </c>
      <c r="AG247" s="52">
        <v>44892</v>
      </c>
      <c r="AH247" s="52">
        <v>3442</v>
      </c>
      <c r="AI247" s="52">
        <v>1</v>
      </c>
      <c r="AJ247" s="53" t="s">
        <v>623</v>
      </c>
    </row>
    <row r="248" spans="1:36" ht="15.75" hidden="1" x14ac:dyDescent="0.25">
      <c r="A248" s="33" t="s">
        <v>624</v>
      </c>
      <c r="B248" s="34">
        <v>45986</v>
      </c>
      <c r="C248" s="34"/>
      <c r="D248" s="35">
        <v>37</v>
      </c>
      <c r="E248" s="36" t="str">
        <f t="shared" si="42"/>
        <v/>
      </c>
      <c r="F248" s="37" t="str">
        <f t="shared" si="43"/>
        <v/>
      </c>
      <c r="G248" s="38">
        <f t="shared" si="44"/>
        <v>0</v>
      </c>
      <c r="H248" s="38">
        <f t="shared" si="44"/>
        <v>0</v>
      </c>
      <c r="I248" s="39">
        <v>0</v>
      </c>
      <c r="J248" s="116">
        <f t="shared" si="51"/>
        <v>0</v>
      </c>
      <c r="K248" s="117">
        <v>0</v>
      </c>
      <c r="L248" s="118">
        <v>0.98899999999999999</v>
      </c>
      <c r="M248" s="39">
        <f t="shared" si="45"/>
        <v>0</v>
      </c>
      <c r="N248" s="116">
        <f t="shared" si="46"/>
        <v>0</v>
      </c>
      <c r="O248" s="43"/>
      <c r="P248" s="119"/>
      <c r="Q248" s="120"/>
      <c r="R248" s="121"/>
      <c r="S248" s="122"/>
      <c r="T248" s="34">
        <f t="shared" ref="T248:T311" si="52">AK248</f>
        <v>0</v>
      </c>
      <c r="U248" s="34">
        <f t="shared" si="47"/>
        <v>0</v>
      </c>
      <c r="V248" s="34">
        <f t="shared" si="48"/>
        <v>0</v>
      </c>
      <c r="W248" s="34">
        <f t="shared" si="49"/>
        <v>0</v>
      </c>
      <c r="X248" s="48" t="s">
        <v>240</v>
      </c>
      <c r="Y248" s="48" t="s">
        <v>38</v>
      </c>
      <c r="Z248" s="49" t="s">
        <v>548</v>
      </c>
      <c r="AA248" s="49"/>
      <c r="AB248" s="33" t="s">
        <v>283</v>
      </c>
      <c r="AC248" s="33"/>
      <c r="AD248" s="50">
        <f t="shared" si="50"/>
        <v>0</v>
      </c>
      <c r="AE248" s="51">
        <f t="shared" si="40"/>
        <v>0</v>
      </c>
      <c r="AF248" s="51">
        <f t="shared" si="41"/>
        <v>0</v>
      </c>
      <c r="AG248" s="52">
        <v>45986</v>
      </c>
      <c r="AH248" s="52">
        <v>45985</v>
      </c>
      <c r="AI248" s="52">
        <v>1</v>
      </c>
      <c r="AJ248" s="53" t="s">
        <v>625</v>
      </c>
    </row>
    <row r="249" spans="1:36" ht="15.75" hidden="1" x14ac:dyDescent="0.25">
      <c r="A249" s="33" t="s">
        <v>626</v>
      </c>
      <c r="B249" s="34">
        <v>45988</v>
      </c>
      <c r="C249" s="34"/>
      <c r="D249" s="35">
        <v>56</v>
      </c>
      <c r="E249" s="36" t="str">
        <f t="shared" si="42"/>
        <v/>
      </c>
      <c r="F249" s="37" t="str">
        <f t="shared" si="43"/>
        <v/>
      </c>
      <c r="G249" s="38">
        <f t="shared" si="44"/>
        <v>0</v>
      </c>
      <c r="H249" s="38">
        <f t="shared" si="44"/>
        <v>0</v>
      </c>
      <c r="I249" s="39">
        <v>0</v>
      </c>
      <c r="J249" s="116">
        <f t="shared" si="51"/>
        <v>0</v>
      </c>
      <c r="K249" s="117">
        <v>0</v>
      </c>
      <c r="L249" s="118">
        <v>0.98899999999999999</v>
      </c>
      <c r="M249" s="39">
        <f t="shared" si="45"/>
        <v>0</v>
      </c>
      <c r="N249" s="116">
        <f t="shared" si="46"/>
        <v>0</v>
      </c>
      <c r="O249" s="43"/>
      <c r="P249" s="119"/>
      <c r="Q249" s="120"/>
      <c r="R249" s="121"/>
      <c r="S249" s="122"/>
      <c r="T249" s="34">
        <f t="shared" si="52"/>
        <v>0</v>
      </c>
      <c r="U249" s="34">
        <f t="shared" si="47"/>
        <v>0</v>
      </c>
      <c r="V249" s="34">
        <f t="shared" si="48"/>
        <v>0</v>
      </c>
      <c r="W249" s="34">
        <f t="shared" si="49"/>
        <v>0</v>
      </c>
      <c r="X249" s="48" t="s">
        <v>240</v>
      </c>
      <c r="Y249" s="48" t="s">
        <v>38</v>
      </c>
      <c r="Z249" s="49" t="s">
        <v>548</v>
      </c>
      <c r="AA249" s="49"/>
      <c r="AB249" s="33" t="s">
        <v>283</v>
      </c>
      <c r="AC249" s="33"/>
      <c r="AD249" s="50">
        <f t="shared" si="50"/>
        <v>0</v>
      </c>
      <c r="AE249" s="51">
        <f t="shared" si="40"/>
        <v>0</v>
      </c>
      <c r="AF249" s="51">
        <f t="shared" si="41"/>
        <v>0</v>
      </c>
      <c r="AG249" s="52">
        <v>45988</v>
      </c>
      <c r="AH249" s="52">
        <v>45985</v>
      </c>
      <c r="AI249" s="52">
        <v>1</v>
      </c>
      <c r="AJ249" s="53" t="s">
        <v>627</v>
      </c>
    </row>
    <row r="250" spans="1:36" ht="15.75" hidden="1" x14ac:dyDescent="0.25">
      <c r="A250" s="33" t="s">
        <v>626</v>
      </c>
      <c r="B250" s="34">
        <v>45987</v>
      </c>
      <c r="C250" s="34"/>
      <c r="D250" s="35">
        <v>18</v>
      </c>
      <c r="E250" s="36" t="str">
        <f t="shared" si="42"/>
        <v/>
      </c>
      <c r="F250" s="37" t="str">
        <f t="shared" si="43"/>
        <v/>
      </c>
      <c r="G250" s="38">
        <f t="shared" si="44"/>
        <v>0</v>
      </c>
      <c r="H250" s="38">
        <f t="shared" si="44"/>
        <v>0</v>
      </c>
      <c r="I250" s="39">
        <v>0</v>
      </c>
      <c r="J250" s="116">
        <f t="shared" si="51"/>
        <v>0</v>
      </c>
      <c r="K250" s="117">
        <v>0</v>
      </c>
      <c r="L250" s="118">
        <v>0.98899999999999999</v>
      </c>
      <c r="M250" s="39">
        <f t="shared" si="45"/>
        <v>0</v>
      </c>
      <c r="N250" s="116">
        <f t="shared" si="46"/>
        <v>0</v>
      </c>
      <c r="O250" s="43"/>
      <c r="P250" s="119"/>
      <c r="Q250" s="120"/>
      <c r="R250" s="121"/>
      <c r="S250" s="122"/>
      <c r="T250" s="34">
        <f t="shared" si="52"/>
        <v>0</v>
      </c>
      <c r="U250" s="34">
        <f t="shared" si="47"/>
        <v>0</v>
      </c>
      <c r="V250" s="34">
        <f t="shared" si="48"/>
        <v>0</v>
      </c>
      <c r="W250" s="34">
        <f t="shared" si="49"/>
        <v>0</v>
      </c>
      <c r="X250" s="48" t="s">
        <v>240</v>
      </c>
      <c r="Y250" s="48" t="s">
        <v>38</v>
      </c>
      <c r="Z250" s="49" t="s">
        <v>548</v>
      </c>
      <c r="AA250" s="49"/>
      <c r="AB250" s="33" t="s">
        <v>283</v>
      </c>
      <c r="AC250" s="33"/>
      <c r="AD250" s="50">
        <f t="shared" si="50"/>
        <v>0</v>
      </c>
      <c r="AE250" s="51">
        <f t="shared" si="40"/>
        <v>0</v>
      </c>
      <c r="AF250" s="51">
        <f t="shared" si="41"/>
        <v>0</v>
      </c>
      <c r="AG250" s="52">
        <v>45986</v>
      </c>
      <c r="AH250" s="52">
        <v>45987</v>
      </c>
      <c r="AI250" s="52">
        <v>1</v>
      </c>
      <c r="AJ250" s="53" t="s">
        <v>628</v>
      </c>
    </row>
    <row r="251" spans="1:36" ht="15.75" hidden="1" x14ac:dyDescent="0.25">
      <c r="A251" s="33" t="s">
        <v>629</v>
      </c>
      <c r="B251" s="34">
        <v>45981</v>
      </c>
      <c r="C251" s="34"/>
      <c r="D251" s="35">
        <v>9</v>
      </c>
      <c r="E251" s="36" t="str">
        <f t="shared" si="42"/>
        <v/>
      </c>
      <c r="F251" s="37" t="str">
        <f t="shared" si="43"/>
        <v/>
      </c>
      <c r="G251" s="38">
        <f t="shared" si="44"/>
        <v>0</v>
      </c>
      <c r="H251" s="38">
        <f t="shared" si="44"/>
        <v>0</v>
      </c>
      <c r="I251" s="39">
        <v>0</v>
      </c>
      <c r="J251" s="116">
        <f t="shared" si="51"/>
        <v>0</v>
      </c>
      <c r="K251" s="117">
        <v>0</v>
      </c>
      <c r="L251" s="118">
        <v>1</v>
      </c>
      <c r="M251" s="39">
        <f t="shared" si="45"/>
        <v>0</v>
      </c>
      <c r="N251" s="116">
        <f t="shared" si="46"/>
        <v>0</v>
      </c>
      <c r="O251" s="43"/>
      <c r="P251" s="119"/>
      <c r="Q251" s="120"/>
      <c r="R251" s="121"/>
      <c r="S251" s="122"/>
      <c r="T251" s="34">
        <f t="shared" si="52"/>
        <v>0</v>
      </c>
      <c r="U251" s="34">
        <f t="shared" si="47"/>
        <v>0</v>
      </c>
      <c r="V251" s="34">
        <f t="shared" si="48"/>
        <v>0</v>
      </c>
      <c r="W251" s="34">
        <f t="shared" si="49"/>
        <v>0</v>
      </c>
      <c r="X251" s="48" t="s">
        <v>240</v>
      </c>
      <c r="Y251" s="48" t="s">
        <v>38</v>
      </c>
      <c r="Z251" s="49" t="s">
        <v>548</v>
      </c>
      <c r="AA251" s="49"/>
      <c r="AB251" s="33" t="s">
        <v>283</v>
      </c>
      <c r="AC251" s="33"/>
      <c r="AD251" s="50">
        <f t="shared" si="50"/>
        <v>0</v>
      </c>
      <c r="AE251" s="51">
        <f t="shared" si="40"/>
        <v>0</v>
      </c>
      <c r="AF251" s="51">
        <f t="shared" si="41"/>
        <v>0</v>
      </c>
      <c r="AG251" s="52">
        <v>45981</v>
      </c>
      <c r="AH251" s="52">
        <v>45976</v>
      </c>
      <c r="AI251" s="52">
        <v>1</v>
      </c>
      <c r="AJ251" s="53" t="s">
        <v>630</v>
      </c>
    </row>
    <row r="252" spans="1:36" ht="15.75" hidden="1" x14ac:dyDescent="0.25">
      <c r="A252" s="33" t="s">
        <v>631</v>
      </c>
      <c r="B252" s="34">
        <v>45982</v>
      </c>
      <c r="C252" s="34"/>
      <c r="D252" s="35">
        <v>9</v>
      </c>
      <c r="E252" s="36" t="str">
        <f t="shared" si="42"/>
        <v/>
      </c>
      <c r="F252" s="37" t="str">
        <f t="shared" si="43"/>
        <v/>
      </c>
      <c r="G252" s="38">
        <f t="shared" si="44"/>
        <v>0</v>
      </c>
      <c r="H252" s="38">
        <f t="shared" si="44"/>
        <v>0</v>
      </c>
      <c r="I252" s="39">
        <v>0</v>
      </c>
      <c r="J252" s="116">
        <f t="shared" si="51"/>
        <v>0</v>
      </c>
      <c r="K252" s="117">
        <v>0</v>
      </c>
      <c r="L252" s="118">
        <v>1</v>
      </c>
      <c r="M252" s="39">
        <f t="shared" si="45"/>
        <v>0</v>
      </c>
      <c r="N252" s="116">
        <f t="shared" si="46"/>
        <v>0</v>
      </c>
      <c r="O252" s="43"/>
      <c r="P252" s="119"/>
      <c r="Q252" s="120"/>
      <c r="R252" s="121"/>
      <c r="S252" s="122"/>
      <c r="T252" s="34">
        <f t="shared" si="52"/>
        <v>0</v>
      </c>
      <c r="U252" s="34">
        <f t="shared" si="47"/>
        <v>0</v>
      </c>
      <c r="V252" s="34">
        <f t="shared" si="48"/>
        <v>0</v>
      </c>
      <c r="W252" s="34">
        <f t="shared" si="49"/>
        <v>0</v>
      </c>
      <c r="X252" s="48" t="s">
        <v>240</v>
      </c>
      <c r="Y252" s="48" t="s">
        <v>38</v>
      </c>
      <c r="Z252" s="49" t="s">
        <v>548</v>
      </c>
      <c r="AA252" s="49"/>
      <c r="AB252" s="33" t="s">
        <v>283</v>
      </c>
      <c r="AC252" s="33"/>
      <c r="AD252" s="50">
        <f t="shared" si="50"/>
        <v>0</v>
      </c>
      <c r="AE252" s="51">
        <f t="shared" si="40"/>
        <v>0</v>
      </c>
      <c r="AF252" s="51">
        <f t="shared" si="41"/>
        <v>0</v>
      </c>
      <c r="AG252" s="52">
        <v>45982</v>
      </c>
      <c r="AH252" s="52">
        <v>45977</v>
      </c>
      <c r="AI252" s="52">
        <v>1</v>
      </c>
      <c r="AJ252" s="53" t="s">
        <v>632</v>
      </c>
    </row>
    <row r="253" spans="1:36" ht="15.75" hidden="1" x14ac:dyDescent="0.25">
      <c r="A253" s="33" t="s">
        <v>633</v>
      </c>
      <c r="B253" s="34">
        <v>45983</v>
      </c>
      <c r="C253" s="34"/>
      <c r="D253" s="35">
        <v>9</v>
      </c>
      <c r="E253" s="36" t="str">
        <f t="shared" si="42"/>
        <v/>
      </c>
      <c r="F253" s="37" t="str">
        <f t="shared" si="43"/>
        <v/>
      </c>
      <c r="G253" s="38">
        <f t="shared" si="44"/>
        <v>0</v>
      </c>
      <c r="H253" s="38">
        <f t="shared" si="44"/>
        <v>0</v>
      </c>
      <c r="I253" s="39">
        <v>0</v>
      </c>
      <c r="J253" s="116">
        <f t="shared" si="51"/>
        <v>0</v>
      </c>
      <c r="K253" s="117">
        <v>0</v>
      </c>
      <c r="L253" s="118">
        <v>1</v>
      </c>
      <c r="M253" s="39">
        <f t="shared" si="45"/>
        <v>0</v>
      </c>
      <c r="N253" s="116">
        <f t="shared" si="46"/>
        <v>0</v>
      </c>
      <c r="O253" s="43"/>
      <c r="P253" s="119"/>
      <c r="Q253" s="120"/>
      <c r="R253" s="121"/>
      <c r="S253" s="122"/>
      <c r="T253" s="34">
        <f t="shared" si="52"/>
        <v>0</v>
      </c>
      <c r="U253" s="34">
        <f t="shared" si="47"/>
        <v>0</v>
      </c>
      <c r="V253" s="34">
        <f t="shared" si="48"/>
        <v>0</v>
      </c>
      <c r="W253" s="34">
        <f t="shared" si="49"/>
        <v>0</v>
      </c>
      <c r="X253" s="48" t="s">
        <v>240</v>
      </c>
      <c r="Y253" s="48" t="s">
        <v>38</v>
      </c>
      <c r="Z253" s="49" t="s">
        <v>548</v>
      </c>
      <c r="AA253" s="49"/>
      <c r="AB253" s="33" t="s">
        <v>283</v>
      </c>
      <c r="AC253" s="33"/>
      <c r="AD253" s="50">
        <f t="shared" si="50"/>
        <v>0</v>
      </c>
      <c r="AE253" s="51">
        <f t="shared" si="40"/>
        <v>0</v>
      </c>
      <c r="AF253" s="51">
        <f t="shared" si="41"/>
        <v>0</v>
      </c>
      <c r="AG253" s="52">
        <v>45983</v>
      </c>
      <c r="AH253" s="52">
        <v>45979</v>
      </c>
      <c r="AI253" s="52">
        <v>1</v>
      </c>
      <c r="AJ253" s="53" t="s">
        <v>634</v>
      </c>
    </row>
    <row r="254" spans="1:36" ht="15.75" hidden="1" x14ac:dyDescent="0.25">
      <c r="A254" s="33" t="s">
        <v>635</v>
      </c>
      <c r="B254" s="34">
        <v>45984</v>
      </c>
      <c r="C254" s="34"/>
      <c r="D254" s="35">
        <v>9</v>
      </c>
      <c r="E254" s="36" t="str">
        <f t="shared" si="42"/>
        <v/>
      </c>
      <c r="F254" s="37" t="str">
        <f t="shared" si="43"/>
        <v/>
      </c>
      <c r="G254" s="38">
        <f t="shared" si="44"/>
        <v>0</v>
      </c>
      <c r="H254" s="38">
        <f t="shared" si="44"/>
        <v>0</v>
      </c>
      <c r="I254" s="39">
        <v>0</v>
      </c>
      <c r="J254" s="116">
        <f t="shared" si="51"/>
        <v>0</v>
      </c>
      <c r="K254" s="117">
        <v>0</v>
      </c>
      <c r="L254" s="118">
        <v>1</v>
      </c>
      <c r="M254" s="39">
        <f t="shared" si="45"/>
        <v>0</v>
      </c>
      <c r="N254" s="116">
        <f t="shared" si="46"/>
        <v>0</v>
      </c>
      <c r="O254" s="43"/>
      <c r="P254" s="119"/>
      <c r="Q254" s="120"/>
      <c r="R254" s="121"/>
      <c r="S254" s="122"/>
      <c r="T254" s="34">
        <f t="shared" si="52"/>
        <v>0</v>
      </c>
      <c r="U254" s="34">
        <f t="shared" si="47"/>
        <v>0</v>
      </c>
      <c r="V254" s="34">
        <f t="shared" si="48"/>
        <v>0</v>
      </c>
      <c r="W254" s="34">
        <f t="shared" si="49"/>
        <v>0</v>
      </c>
      <c r="X254" s="48" t="s">
        <v>240</v>
      </c>
      <c r="Y254" s="48" t="s">
        <v>38</v>
      </c>
      <c r="Z254" s="49" t="s">
        <v>548</v>
      </c>
      <c r="AA254" s="49"/>
      <c r="AB254" s="33" t="s">
        <v>283</v>
      </c>
      <c r="AC254" s="33"/>
      <c r="AD254" s="50">
        <f t="shared" si="50"/>
        <v>0</v>
      </c>
      <c r="AE254" s="51">
        <f t="shared" si="40"/>
        <v>0</v>
      </c>
      <c r="AF254" s="51">
        <f t="shared" si="41"/>
        <v>0</v>
      </c>
      <c r="AG254" s="52">
        <v>45984</v>
      </c>
      <c r="AH254" s="52">
        <v>45980</v>
      </c>
      <c r="AI254" s="52">
        <v>1</v>
      </c>
      <c r="AJ254" s="53" t="s">
        <v>636</v>
      </c>
    </row>
    <row r="255" spans="1:36" ht="15.75" x14ac:dyDescent="0.25">
      <c r="A255" s="33" t="s">
        <v>637</v>
      </c>
      <c r="B255" s="34">
        <v>406</v>
      </c>
      <c r="C255" s="136"/>
      <c r="D255" s="35">
        <v>188</v>
      </c>
      <c r="E255" s="36" t="str">
        <f t="shared" si="42"/>
        <v/>
      </c>
      <c r="F255" s="37" t="str">
        <f t="shared" si="43"/>
        <v/>
      </c>
      <c r="G255" s="38">
        <f t="shared" si="44"/>
        <v>0</v>
      </c>
      <c r="H255" s="38">
        <f t="shared" si="44"/>
        <v>0</v>
      </c>
      <c r="I255" s="39">
        <v>0</v>
      </c>
      <c r="J255" s="116">
        <f t="shared" si="51"/>
        <v>0</v>
      </c>
      <c r="K255" s="117">
        <v>0</v>
      </c>
      <c r="L255" s="118">
        <v>0.999</v>
      </c>
      <c r="M255" s="39">
        <f t="shared" si="45"/>
        <v>0</v>
      </c>
      <c r="N255" s="116">
        <f t="shared" si="46"/>
        <v>0</v>
      </c>
      <c r="O255" s="43"/>
      <c r="P255" s="119"/>
      <c r="Q255" s="120"/>
      <c r="R255" s="121"/>
      <c r="S255" s="122"/>
      <c r="T255" s="34">
        <f t="shared" si="52"/>
        <v>0</v>
      </c>
      <c r="U255" s="34">
        <f t="shared" si="47"/>
        <v>0</v>
      </c>
      <c r="V255" s="34">
        <f t="shared" si="48"/>
        <v>0</v>
      </c>
      <c r="W255" s="34">
        <f t="shared" si="49"/>
        <v>0</v>
      </c>
      <c r="X255" s="48" t="s">
        <v>71</v>
      </c>
      <c r="Y255" s="48" t="s">
        <v>38</v>
      </c>
      <c r="Z255" s="49" t="s">
        <v>548</v>
      </c>
      <c r="AA255" s="49"/>
      <c r="AB255" s="33" t="s">
        <v>589</v>
      </c>
      <c r="AC255" s="33"/>
      <c r="AD255" s="50">
        <f t="shared" si="50"/>
        <v>0</v>
      </c>
      <c r="AE255" s="51">
        <f t="shared" si="40"/>
        <v>0</v>
      </c>
      <c r="AF255" s="51">
        <f t="shared" si="41"/>
        <v>0</v>
      </c>
      <c r="AG255" s="52">
        <v>485</v>
      </c>
      <c r="AH255" s="52">
        <v>406</v>
      </c>
      <c r="AI255" s="52">
        <v>1</v>
      </c>
      <c r="AJ255" s="53" t="s">
        <v>638</v>
      </c>
    </row>
    <row r="256" spans="1:36" ht="15.75" x14ac:dyDescent="0.25">
      <c r="A256" s="33" t="s">
        <v>639</v>
      </c>
      <c r="B256" s="34">
        <v>405</v>
      </c>
      <c r="C256" s="136"/>
      <c r="D256" s="35">
        <v>188</v>
      </c>
      <c r="E256" s="36" t="str">
        <f t="shared" si="42"/>
        <v/>
      </c>
      <c r="F256" s="37" t="str">
        <f t="shared" si="43"/>
        <v/>
      </c>
      <c r="G256" s="38">
        <f t="shared" si="44"/>
        <v>0</v>
      </c>
      <c r="H256" s="38">
        <f t="shared" si="44"/>
        <v>0</v>
      </c>
      <c r="I256" s="39">
        <v>0</v>
      </c>
      <c r="J256" s="116">
        <f t="shared" si="51"/>
        <v>0</v>
      </c>
      <c r="K256" s="117">
        <v>0</v>
      </c>
      <c r="L256" s="118">
        <v>0.99</v>
      </c>
      <c r="M256" s="39">
        <f t="shared" si="45"/>
        <v>0</v>
      </c>
      <c r="N256" s="116">
        <f t="shared" si="46"/>
        <v>0</v>
      </c>
      <c r="O256" s="43"/>
      <c r="P256" s="119"/>
      <c r="Q256" s="120"/>
      <c r="R256" s="121"/>
      <c r="S256" s="122"/>
      <c r="T256" s="34">
        <f t="shared" si="52"/>
        <v>0</v>
      </c>
      <c r="U256" s="34">
        <f t="shared" si="47"/>
        <v>0</v>
      </c>
      <c r="V256" s="34">
        <f t="shared" si="48"/>
        <v>0</v>
      </c>
      <c r="W256" s="34">
        <f t="shared" si="49"/>
        <v>0</v>
      </c>
      <c r="X256" s="48" t="s">
        <v>71</v>
      </c>
      <c r="Y256" s="48" t="s">
        <v>38</v>
      </c>
      <c r="Z256" s="49" t="s">
        <v>548</v>
      </c>
      <c r="AA256" s="49"/>
      <c r="AB256" s="33" t="s">
        <v>589</v>
      </c>
      <c r="AC256" s="33"/>
      <c r="AD256" s="50">
        <f t="shared" si="50"/>
        <v>0</v>
      </c>
      <c r="AE256" s="51">
        <f t="shared" si="40"/>
        <v>0</v>
      </c>
      <c r="AF256" s="51">
        <f t="shared" si="41"/>
        <v>0</v>
      </c>
      <c r="AG256" s="52">
        <v>484</v>
      </c>
      <c r="AH256" s="52">
        <v>405</v>
      </c>
      <c r="AI256" s="52">
        <v>1</v>
      </c>
      <c r="AJ256" s="53" t="s">
        <v>640</v>
      </c>
    </row>
    <row r="257" spans="1:36" ht="15.75" hidden="1" x14ac:dyDescent="0.25">
      <c r="A257" s="33" t="s">
        <v>641</v>
      </c>
      <c r="B257" s="34">
        <v>3977</v>
      </c>
      <c r="C257" s="34"/>
      <c r="D257" s="35">
        <v>547</v>
      </c>
      <c r="E257" s="36" t="str">
        <f t="shared" si="42"/>
        <v/>
      </c>
      <c r="F257" s="37" t="str">
        <f t="shared" si="43"/>
        <v/>
      </c>
      <c r="G257" s="38">
        <f t="shared" si="44"/>
        <v>0</v>
      </c>
      <c r="H257" s="38">
        <f t="shared" si="44"/>
        <v>0</v>
      </c>
      <c r="I257" s="39">
        <v>0</v>
      </c>
      <c r="J257" s="116">
        <f t="shared" si="51"/>
        <v>0</v>
      </c>
      <c r="K257" s="117">
        <v>0</v>
      </c>
      <c r="L257" s="118">
        <v>1.02</v>
      </c>
      <c r="M257" s="39">
        <f t="shared" si="45"/>
        <v>0</v>
      </c>
      <c r="N257" s="116">
        <f t="shared" si="46"/>
        <v>0</v>
      </c>
      <c r="O257" s="43"/>
      <c r="P257" s="119"/>
      <c r="Q257" s="120"/>
      <c r="R257" s="121"/>
      <c r="S257" s="122"/>
      <c r="T257" s="34">
        <f t="shared" si="52"/>
        <v>0</v>
      </c>
      <c r="U257" s="34">
        <f t="shared" si="47"/>
        <v>0</v>
      </c>
      <c r="V257" s="34">
        <f t="shared" si="48"/>
        <v>0</v>
      </c>
      <c r="W257" s="34">
        <f t="shared" si="49"/>
        <v>0</v>
      </c>
      <c r="X257" s="48" t="s">
        <v>229</v>
      </c>
      <c r="Y257" s="48" t="s">
        <v>38</v>
      </c>
      <c r="Z257" s="49" t="s">
        <v>548</v>
      </c>
      <c r="AA257" s="49"/>
      <c r="AB257" s="33" t="s">
        <v>543</v>
      </c>
      <c r="AC257" s="33"/>
      <c r="AD257" s="50">
        <f t="shared" si="50"/>
        <v>0</v>
      </c>
      <c r="AE257" s="51">
        <f t="shared" si="40"/>
        <v>0</v>
      </c>
      <c r="AF257" s="51">
        <f t="shared" si="41"/>
        <v>0</v>
      </c>
      <c r="AG257" s="52">
        <v>3966</v>
      </c>
      <c r="AH257" s="52">
        <v>3977</v>
      </c>
      <c r="AI257" s="52">
        <v>1</v>
      </c>
      <c r="AJ257" s="53" t="s">
        <v>642</v>
      </c>
    </row>
    <row r="258" spans="1:36" ht="15.75" hidden="1" x14ac:dyDescent="0.25">
      <c r="A258" s="33" t="s">
        <v>643</v>
      </c>
      <c r="B258" s="34">
        <v>3978</v>
      </c>
      <c r="C258" s="34"/>
      <c r="D258" s="35">
        <v>364</v>
      </c>
      <c r="E258" s="36" t="str">
        <f t="shared" si="42"/>
        <v/>
      </c>
      <c r="F258" s="37" t="str">
        <f t="shared" si="43"/>
        <v/>
      </c>
      <c r="G258" s="38">
        <f t="shared" si="44"/>
        <v>0</v>
      </c>
      <c r="H258" s="38">
        <f t="shared" si="44"/>
        <v>0</v>
      </c>
      <c r="I258" s="39">
        <v>0</v>
      </c>
      <c r="J258" s="116">
        <f t="shared" si="51"/>
        <v>0</v>
      </c>
      <c r="K258" s="117">
        <v>0</v>
      </c>
      <c r="L258" s="118">
        <v>1.02</v>
      </c>
      <c r="M258" s="39">
        <f t="shared" si="45"/>
        <v>0</v>
      </c>
      <c r="N258" s="116">
        <f t="shared" si="46"/>
        <v>0</v>
      </c>
      <c r="O258" s="43"/>
      <c r="P258" s="119"/>
      <c r="Q258" s="120"/>
      <c r="R258" s="121"/>
      <c r="S258" s="122"/>
      <c r="T258" s="34">
        <f t="shared" si="52"/>
        <v>0</v>
      </c>
      <c r="U258" s="34">
        <f t="shared" si="47"/>
        <v>0</v>
      </c>
      <c r="V258" s="34">
        <f t="shared" si="48"/>
        <v>0</v>
      </c>
      <c r="W258" s="34">
        <f t="shared" si="49"/>
        <v>0</v>
      </c>
      <c r="X258" s="48" t="s">
        <v>229</v>
      </c>
      <c r="Y258" s="48" t="s">
        <v>38</v>
      </c>
      <c r="Z258" s="49" t="s">
        <v>548</v>
      </c>
      <c r="AA258" s="49"/>
      <c r="AB258" s="33" t="s">
        <v>543</v>
      </c>
      <c r="AC258" s="33"/>
      <c r="AD258" s="50">
        <f t="shared" si="50"/>
        <v>0</v>
      </c>
      <c r="AE258" s="51">
        <f t="shared" si="40"/>
        <v>0</v>
      </c>
      <c r="AF258" s="51">
        <f t="shared" si="41"/>
        <v>0</v>
      </c>
      <c r="AG258" s="52">
        <v>3966</v>
      </c>
      <c r="AH258" s="52">
        <v>3978</v>
      </c>
      <c r="AI258" s="52">
        <v>1</v>
      </c>
      <c r="AJ258" s="53" t="s">
        <v>644</v>
      </c>
    </row>
    <row r="259" spans="1:36" ht="15.75" hidden="1" x14ac:dyDescent="0.25">
      <c r="A259" s="33" t="s">
        <v>645</v>
      </c>
      <c r="B259" s="34">
        <v>8910</v>
      </c>
      <c r="C259" s="34"/>
      <c r="D259" s="35" t="s">
        <v>646</v>
      </c>
      <c r="E259" s="36" t="str">
        <f t="shared" si="42"/>
        <v/>
      </c>
      <c r="F259" s="37" t="str">
        <f t="shared" si="43"/>
        <v/>
      </c>
      <c r="G259" s="38">
        <f t="shared" si="44"/>
        <v>0</v>
      </c>
      <c r="H259" s="38">
        <f t="shared" si="44"/>
        <v>0</v>
      </c>
      <c r="I259" s="39"/>
      <c r="J259" s="116" t="str">
        <f t="shared" si="51"/>
        <v>-</v>
      </c>
      <c r="K259" s="117"/>
      <c r="L259" s="118"/>
      <c r="M259" s="39">
        <f t="shared" si="45"/>
        <v>0</v>
      </c>
      <c r="N259" s="116">
        <f t="shared" si="46"/>
        <v>0</v>
      </c>
      <c r="O259" s="43"/>
      <c r="P259" s="119"/>
      <c r="Q259" s="120"/>
      <c r="R259" s="121"/>
      <c r="S259" s="122"/>
      <c r="T259" s="34">
        <f t="shared" si="52"/>
        <v>0</v>
      </c>
      <c r="U259" s="34">
        <f t="shared" si="47"/>
        <v>0</v>
      </c>
      <c r="V259" s="34">
        <f t="shared" si="48"/>
        <v>0</v>
      </c>
      <c r="W259" s="34">
        <f t="shared" si="49"/>
        <v>0</v>
      </c>
      <c r="X259" s="48" t="s">
        <v>240</v>
      </c>
      <c r="Y259" s="48" t="s">
        <v>38</v>
      </c>
      <c r="Z259" s="49" t="s">
        <v>647</v>
      </c>
      <c r="AA259" s="49"/>
      <c r="AB259" s="33" t="s">
        <v>283</v>
      </c>
      <c r="AC259" s="33"/>
      <c r="AD259" s="50">
        <f t="shared" si="50"/>
        <v>0</v>
      </c>
      <c r="AE259" s="51">
        <f t="shared" si="40"/>
        <v>0</v>
      </c>
      <c r="AF259" s="51">
        <f t="shared" si="41"/>
        <v>0</v>
      </c>
      <c r="AG259" s="52" t="s">
        <v>134</v>
      </c>
      <c r="AH259" s="52" t="s">
        <v>134</v>
      </c>
      <c r="AI259" s="52" t="s">
        <v>134</v>
      </c>
      <c r="AJ259" s="53" t="s">
        <v>134</v>
      </c>
    </row>
    <row r="260" spans="1:36" ht="15.75" hidden="1" x14ac:dyDescent="0.25">
      <c r="A260" s="33" t="s">
        <v>648</v>
      </c>
      <c r="B260" s="34">
        <v>8911</v>
      </c>
      <c r="C260" s="34"/>
      <c r="D260" s="35" t="s">
        <v>646</v>
      </c>
      <c r="E260" s="36" t="str">
        <f t="shared" si="42"/>
        <v/>
      </c>
      <c r="F260" s="37" t="str">
        <f t="shared" si="43"/>
        <v/>
      </c>
      <c r="G260" s="38">
        <f t="shared" si="44"/>
        <v>0</v>
      </c>
      <c r="H260" s="38">
        <f t="shared" si="44"/>
        <v>0</v>
      </c>
      <c r="I260" s="39"/>
      <c r="J260" s="116" t="str">
        <f t="shared" si="51"/>
        <v>-</v>
      </c>
      <c r="K260" s="117"/>
      <c r="L260" s="118"/>
      <c r="M260" s="39">
        <f t="shared" si="45"/>
        <v>0</v>
      </c>
      <c r="N260" s="116">
        <f t="shared" si="46"/>
        <v>0</v>
      </c>
      <c r="O260" s="43"/>
      <c r="P260" s="119"/>
      <c r="Q260" s="120"/>
      <c r="R260" s="121"/>
      <c r="S260" s="122"/>
      <c r="T260" s="34">
        <f t="shared" si="52"/>
        <v>0</v>
      </c>
      <c r="U260" s="34">
        <f t="shared" si="47"/>
        <v>0</v>
      </c>
      <c r="V260" s="34">
        <f t="shared" si="48"/>
        <v>0</v>
      </c>
      <c r="W260" s="34">
        <f t="shared" si="49"/>
        <v>0</v>
      </c>
      <c r="X260" s="48" t="s">
        <v>240</v>
      </c>
      <c r="Y260" s="48" t="s">
        <v>38</v>
      </c>
      <c r="Z260" s="49" t="s">
        <v>647</v>
      </c>
      <c r="AA260" s="49"/>
      <c r="AB260" s="33" t="s">
        <v>283</v>
      </c>
      <c r="AC260" s="33"/>
      <c r="AD260" s="50">
        <f t="shared" si="50"/>
        <v>0</v>
      </c>
      <c r="AE260" s="51">
        <f t="shared" si="40"/>
        <v>0</v>
      </c>
      <c r="AF260" s="51">
        <f t="shared" si="41"/>
        <v>0</v>
      </c>
      <c r="AG260" s="52" t="s">
        <v>134</v>
      </c>
      <c r="AH260" s="52" t="s">
        <v>134</v>
      </c>
      <c r="AI260" s="52" t="s">
        <v>134</v>
      </c>
      <c r="AJ260" s="53" t="s">
        <v>134</v>
      </c>
    </row>
    <row r="261" spans="1:36" ht="15.75" hidden="1" x14ac:dyDescent="0.25">
      <c r="A261" s="33" t="s">
        <v>649</v>
      </c>
      <c r="B261" s="34">
        <v>45976</v>
      </c>
      <c r="C261" s="34"/>
      <c r="D261" s="35">
        <v>43</v>
      </c>
      <c r="E261" s="36" t="str">
        <f t="shared" si="42"/>
        <v/>
      </c>
      <c r="F261" s="37" t="str">
        <f t="shared" si="43"/>
        <v/>
      </c>
      <c r="G261" s="38">
        <f t="shared" si="44"/>
        <v>0</v>
      </c>
      <c r="H261" s="38">
        <f t="shared" si="44"/>
        <v>0</v>
      </c>
      <c r="I261" s="39">
        <v>0</v>
      </c>
      <c r="J261" s="116">
        <f t="shared" si="51"/>
        <v>0</v>
      </c>
      <c r="K261" s="117">
        <v>0</v>
      </c>
      <c r="L261" s="118">
        <v>1</v>
      </c>
      <c r="M261" s="39">
        <f t="shared" si="45"/>
        <v>0</v>
      </c>
      <c r="N261" s="116">
        <f t="shared" si="46"/>
        <v>0</v>
      </c>
      <c r="O261" s="43"/>
      <c r="P261" s="119"/>
      <c r="Q261" s="120"/>
      <c r="R261" s="121"/>
      <c r="S261" s="122"/>
      <c r="T261" s="34">
        <f t="shared" si="52"/>
        <v>0</v>
      </c>
      <c r="U261" s="34">
        <f t="shared" si="47"/>
        <v>0</v>
      </c>
      <c r="V261" s="34">
        <f t="shared" si="48"/>
        <v>0</v>
      </c>
      <c r="W261" s="34">
        <f t="shared" si="49"/>
        <v>0</v>
      </c>
      <c r="X261" s="48" t="s">
        <v>240</v>
      </c>
      <c r="Y261" s="48" t="s">
        <v>38</v>
      </c>
      <c r="Z261" s="49" t="s">
        <v>548</v>
      </c>
      <c r="AA261" s="49"/>
      <c r="AB261" s="33" t="s">
        <v>283</v>
      </c>
      <c r="AC261" s="33"/>
      <c r="AD261" s="50">
        <f t="shared" si="50"/>
        <v>0</v>
      </c>
      <c r="AE261" s="51">
        <f t="shared" si="40"/>
        <v>0</v>
      </c>
      <c r="AF261" s="51">
        <f t="shared" si="41"/>
        <v>0</v>
      </c>
      <c r="AG261" s="52">
        <v>45976</v>
      </c>
      <c r="AH261" s="52">
        <v>45975</v>
      </c>
      <c r="AI261" s="52">
        <v>1</v>
      </c>
      <c r="AJ261" s="53" t="s">
        <v>650</v>
      </c>
    </row>
    <row r="262" spans="1:36" ht="15.75" hidden="1" x14ac:dyDescent="0.25">
      <c r="A262" s="33" t="s">
        <v>651</v>
      </c>
      <c r="B262" s="34">
        <v>45977</v>
      </c>
      <c r="C262" s="34"/>
      <c r="D262" s="35">
        <v>43</v>
      </c>
      <c r="E262" s="36" t="str">
        <f t="shared" ref="E262:E325" si="53">IF(AS262="-",IF(AW262=0,"",AW262),"")</f>
        <v/>
      </c>
      <c r="F262" s="37" t="str">
        <f t="shared" ref="F262:F325" si="54">IF(AS262="-",AX262,"")</f>
        <v/>
      </c>
      <c r="G262" s="38">
        <f t="shared" si="44"/>
        <v>0</v>
      </c>
      <c r="H262" s="38">
        <f t="shared" si="44"/>
        <v>0</v>
      </c>
      <c r="I262" s="39">
        <v>0</v>
      </c>
      <c r="J262" s="116">
        <f t="shared" si="51"/>
        <v>0</v>
      </c>
      <c r="K262" s="117">
        <v>0</v>
      </c>
      <c r="L262" s="118">
        <v>1</v>
      </c>
      <c r="M262" s="39">
        <f t="shared" si="45"/>
        <v>0</v>
      </c>
      <c r="N262" s="116">
        <f t="shared" si="46"/>
        <v>0</v>
      </c>
      <c r="O262" s="43"/>
      <c r="P262" s="119"/>
      <c r="Q262" s="120"/>
      <c r="R262" s="121"/>
      <c r="S262" s="122"/>
      <c r="T262" s="34">
        <f t="shared" si="52"/>
        <v>0</v>
      </c>
      <c r="U262" s="34">
        <f t="shared" si="47"/>
        <v>0</v>
      </c>
      <c r="V262" s="34">
        <f t="shared" si="48"/>
        <v>0</v>
      </c>
      <c r="W262" s="34">
        <f t="shared" si="49"/>
        <v>0</v>
      </c>
      <c r="X262" s="48" t="s">
        <v>240</v>
      </c>
      <c r="Y262" s="48" t="s">
        <v>38</v>
      </c>
      <c r="Z262" s="49" t="s">
        <v>548</v>
      </c>
      <c r="AA262" s="49"/>
      <c r="AB262" s="33" t="s">
        <v>283</v>
      </c>
      <c r="AC262" s="33"/>
      <c r="AD262" s="50">
        <f t="shared" si="50"/>
        <v>0</v>
      </c>
      <c r="AE262" s="51">
        <f t="shared" ref="AE262:AE325" si="55">IFERROR(+D262/VLOOKUP(AB262,$A$386:$E$428,3,FALSE),0)</f>
        <v>0</v>
      </c>
      <c r="AF262" s="51">
        <f t="shared" ref="AF262:AF325" si="56">IFERROR(+I262/VLOOKUP(AB262,$A$386:$E$428,5,FALSE),0)</f>
        <v>0</v>
      </c>
      <c r="AG262" s="52">
        <v>45977</v>
      </c>
      <c r="AH262" s="52">
        <v>45975</v>
      </c>
      <c r="AI262" s="52">
        <v>1</v>
      </c>
      <c r="AJ262" s="53" t="s">
        <v>652</v>
      </c>
    </row>
    <row r="263" spans="1:36" ht="15.75" hidden="1" x14ac:dyDescent="0.25">
      <c r="A263" s="33" t="s">
        <v>653</v>
      </c>
      <c r="B263" s="34">
        <v>45979</v>
      </c>
      <c r="C263" s="34"/>
      <c r="D263" s="35">
        <v>43</v>
      </c>
      <c r="E263" s="36" t="str">
        <f t="shared" si="53"/>
        <v/>
      </c>
      <c r="F263" s="37" t="str">
        <f t="shared" si="54"/>
        <v/>
      </c>
      <c r="G263" s="38">
        <f t="shared" si="44"/>
        <v>0</v>
      </c>
      <c r="H263" s="38">
        <f t="shared" si="44"/>
        <v>0</v>
      </c>
      <c r="I263" s="39">
        <v>0</v>
      </c>
      <c r="J263" s="116">
        <f t="shared" si="51"/>
        <v>0</v>
      </c>
      <c r="K263" s="117">
        <v>0</v>
      </c>
      <c r="L263" s="118">
        <v>1</v>
      </c>
      <c r="M263" s="39">
        <f t="shared" si="45"/>
        <v>0</v>
      </c>
      <c r="N263" s="116">
        <f t="shared" si="46"/>
        <v>0</v>
      </c>
      <c r="O263" s="43"/>
      <c r="P263" s="119"/>
      <c r="Q263" s="120"/>
      <c r="R263" s="121"/>
      <c r="S263" s="122"/>
      <c r="T263" s="34">
        <f t="shared" si="52"/>
        <v>0</v>
      </c>
      <c r="U263" s="34">
        <f t="shared" si="47"/>
        <v>0</v>
      </c>
      <c r="V263" s="34">
        <f t="shared" si="48"/>
        <v>0</v>
      </c>
      <c r="W263" s="34">
        <f t="shared" si="49"/>
        <v>0</v>
      </c>
      <c r="X263" s="48" t="s">
        <v>240</v>
      </c>
      <c r="Y263" s="48" t="s">
        <v>38</v>
      </c>
      <c r="Z263" s="49" t="s">
        <v>548</v>
      </c>
      <c r="AA263" s="49"/>
      <c r="AB263" s="33" t="s">
        <v>283</v>
      </c>
      <c r="AC263" s="33"/>
      <c r="AD263" s="50">
        <f t="shared" si="50"/>
        <v>0</v>
      </c>
      <c r="AE263" s="51">
        <f t="shared" si="55"/>
        <v>0</v>
      </c>
      <c r="AF263" s="51">
        <f t="shared" si="56"/>
        <v>0</v>
      </c>
      <c r="AG263" s="52">
        <v>45979</v>
      </c>
      <c r="AH263" s="52">
        <v>45978</v>
      </c>
      <c r="AI263" s="52">
        <v>1</v>
      </c>
      <c r="AJ263" s="53" t="s">
        <v>654</v>
      </c>
    </row>
    <row r="264" spans="1:36" ht="15.75" hidden="1" x14ac:dyDescent="0.25">
      <c r="A264" s="33" t="s">
        <v>655</v>
      </c>
      <c r="B264" s="34">
        <v>45980</v>
      </c>
      <c r="C264" s="34"/>
      <c r="D264" s="35">
        <v>43</v>
      </c>
      <c r="E264" s="36" t="str">
        <f t="shared" si="53"/>
        <v/>
      </c>
      <c r="F264" s="37" t="str">
        <f t="shared" si="54"/>
        <v/>
      </c>
      <c r="G264" s="38">
        <f t="shared" si="44"/>
        <v>0</v>
      </c>
      <c r="H264" s="38">
        <f t="shared" si="44"/>
        <v>0</v>
      </c>
      <c r="I264" s="39">
        <v>0</v>
      </c>
      <c r="J264" s="116">
        <f t="shared" si="51"/>
        <v>0</v>
      </c>
      <c r="K264" s="117">
        <v>0</v>
      </c>
      <c r="L264" s="118">
        <v>1</v>
      </c>
      <c r="M264" s="39">
        <f t="shared" si="45"/>
        <v>0</v>
      </c>
      <c r="N264" s="116">
        <f t="shared" si="46"/>
        <v>0</v>
      </c>
      <c r="O264" s="43"/>
      <c r="P264" s="119"/>
      <c r="Q264" s="120"/>
      <c r="R264" s="121"/>
      <c r="S264" s="122"/>
      <c r="T264" s="34">
        <f t="shared" si="52"/>
        <v>0</v>
      </c>
      <c r="U264" s="34">
        <f t="shared" si="47"/>
        <v>0</v>
      </c>
      <c r="V264" s="34">
        <f t="shared" si="48"/>
        <v>0</v>
      </c>
      <c r="W264" s="34">
        <f t="shared" si="49"/>
        <v>0</v>
      </c>
      <c r="X264" s="48" t="s">
        <v>240</v>
      </c>
      <c r="Y264" s="48" t="s">
        <v>38</v>
      </c>
      <c r="Z264" s="49" t="s">
        <v>548</v>
      </c>
      <c r="AA264" s="49"/>
      <c r="AB264" s="33" t="s">
        <v>283</v>
      </c>
      <c r="AC264" s="33"/>
      <c r="AD264" s="50">
        <f t="shared" si="50"/>
        <v>0</v>
      </c>
      <c r="AE264" s="51">
        <f t="shared" si="55"/>
        <v>0</v>
      </c>
      <c r="AF264" s="51">
        <f t="shared" si="56"/>
        <v>0</v>
      </c>
      <c r="AG264" s="52">
        <v>45980</v>
      </c>
      <c r="AH264" s="52">
        <v>45978</v>
      </c>
      <c r="AI264" s="52">
        <v>1</v>
      </c>
      <c r="AJ264" s="53" t="s">
        <v>656</v>
      </c>
    </row>
    <row r="265" spans="1:36" ht="15.75" hidden="1" x14ac:dyDescent="0.25">
      <c r="A265" s="33" t="s">
        <v>657</v>
      </c>
      <c r="B265" s="34">
        <v>3740</v>
      </c>
      <c r="C265" s="34"/>
      <c r="D265" s="35">
        <v>175</v>
      </c>
      <c r="E265" s="36" t="str">
        <f t="shared" si="53"/>
        <v/>
      </c>
      <c r="F265" s="37" t="str">
        <f t="shared" si="54"/>
        <v/>
      </c>
      <c r="G265" s="38">
        <f t="shared" ref="G265:H334" si="57">BD265</f>
        <v>0</v>
      </c>
      <c r="H265" s="38">
        <f t="shared" si="57"/>
        <v>0</v>
      </c>
      <c r="I265" s="39">
        <v>0</v>
      </c>
      <c r="J265" s="116">
        <f t="shared" si="51"/>
        <v>0</v>
      </c>
      <c r="K265" s="117">
        <v>0</v>
      </c>
      <c r="L265" s="118">
        <v>0.999</v>
      </c>
      <c r="M265" s="39">
        <f t="shared" ref="M265:M334" si="58">IF(O265&lt;&gt;"",ROUND(O265,0),IF(P265&lt;&gt;"",ROUND(P265*D265,0),I265))</f>
        <v>0</v>
      </c>
      <c r="N265" s="116">
        <f t="shared" ref="N265:N334" si="59">IF(M265&lt;&gt;"",+M265/$D265,"-")</f>
        <v>0</v>
      </c>
      <c r="O265" s="43"/>
      <c r="P265" s="119"/>
      <c r="Q265" s="120"/>
      <c r="R265" s="121"/>
      <c r="S265" s="122"/>
      <c r="T265" s="34">
        <f t="shared" si="52"/>
        <v>0</v>
      </c>
      <c r="U265" s="34">
        <f t="shared" ref="U265:U334" si="60">AN265</f>
        <v>0</v>
      </c>
      <c r="V265" s="34">
        <f t="shared" ref="V265:V334" si="61">IF(AND(ISBLANK(O265),ISBLANK(P265),ISBLANK(Q265)),AP265,AO265)</f>
        <v>0</v>
      </c>
      <c r="W265" s="34">
        <f t="shared" ref="W265:W334" si="62">AM265</f>
        <v>0</v>
      </c>
      <c r="X265" s="48" t="s">
        <v>88</v>
      </c>
      <c r="Y265" s="48" t="s">
        <v>38</v>
      </c>
      <c r="Z265" s="49" t="s">
        <v>647</v>
      </c>
      <c r="AA265" s="49"/>
      <c r="AB265" s="33" t="s">
        <v>658</v>
      </c>
      <c r="AC265" s="33"/>
      <c r="AD265" s="50">
        <f t="shared" ref="AD265:AD334" si="63">(I265/D265)</f>
        <v>0</v>
      </c>
      <c r="AE265" s="51">
        <f t="shared" si="55"/>
        <v>0</v>
      </c>
      <c r="AF265" s="51">
        <f t="shared" si="56"/>
        <v>0</v>
      </c>
      <c r="AG265" s="52">
        <v>3725</v>
      </c>
      <c r="AH265" s="52">
        <v>3740</v>
      </c>
      <c r="AI265" s="52">
        <v>1</v>
      </c>
      <c r="AJ265" s="53" t="s">
        <v>659</v>
      </c>
    </row>
    <row r="266" spans="1:36" ht="15.75" hidden="1" x14ac:dyDescent="0.25">
      <c r="A266" s="33" t="s">
        <v>660</v>
      </c>
      <c r="B266" s="34">
        <v>6912</v>
      </c>
      <c r="C266" s="34"/>
      <c r="D266" s="35">
        <v>229</v>
      </c>
      <c r="E266" s="36" t="str">
        <f t="shared" si="53"/>
        <v/>
      </c>
      <c r="F266" s="37" t="str">
        <f t="shared" si="54"/>
        <v/>
      </c>
      <c r="G266" s="38">
        <f t="shared" si="57"/>
        <v>0</v>
      </c>
      <c r="H266" s="38">
        <f t="shared" si="57"/>
        <v>0</v>
      </c>
      <c r="I266" s="39">
        <v>0</v>
      </c>
      <c r="J266" s="116">
        <f t="shared" si="51"/>
        <v>0</v>
      </c>
      <c r="K266" s="117">
        <v>0</v>
      </c>
      <c r="L266" s="118">
        <v>1.02</v>
      </c>
      <c r="M266" s="39">
        <f t="shared" si="58"/>
        <v>0</v>
      </c>
      <c r="N266" s="116">
        <f t="shared" si="59"/>
        <v>0</v>
      </c>
      <c r="O266" s="43"/>
      <c r="P266" s="119"/>
      <c r="Q266" s="120"/>
      <c r="R266" s="121"/>
      <c r="S266" s="122"/>
      <c r="T266" s="34">
        <f t="shared" si="52"/>
        <v>0</v>
      </c>
      <c r="U266" s="34">
        <f t="shared" si="60"/>
        <v>0</v>
      </c>
      <c r="V266" s="34">
        <f t="shared" si="61"/>
        <v>0</v>
      </c>
      <c r="W266" s="34">
        <f t="shared" si="62"/>
        <v>0</v>
      </c>
      <c r="X266" s="48" t="s">
        <v>404</v>
      </c>
      <c r="Y266" s="48" t="s">
        <v>38</v>
      </c>
      <c r="Z266" s="49" t="s">
        <v>548</v>
      </c>
      <c r="AA266" s="49"/>
      <c r="AB266" s="33" t="s">
        <v>661</v>
      </c>
      <c r="AC266" s="33"/>
      <c r="AD266" s="50">
        <f t="shared" si="63"/>
        <v>0</v>
      </c>
      <c r="AE266" s="51">
        <f t="shared" si="55"/>
        <v>0</v>
      </c>
      <c r="AF266" s="51">
        <f t="shared" si="56"/>
        <v>0</v>
      </c>
      <c r="AG266" s="52">
        <v>7568</v>
      </c>
      <c r="AH266" s="52">
        <v>6912</v>
      </c>
      <c r="AI266" s="52">
        <v>1</v>
      </c>
      <c r="AJ266" s="53" t="s">
        <v>662</v>
      </c>
    </row>
    <row r="267" spans="1:36" ht="15.75" hidden="1" x14ac:dyDescent="0.25">
      <c r="A267" s="33" t="s">
        <v>663</v>
      </c>
      <c r="B267" s="34">
        <v>6913</v>
      </c>
      <c r="C267" s="34"/>
      <c r="D267" s="35">
        <v>115</v>
      </c>
      <c r="E267" s="36" t="str">
        <f t="shared" si="53"/>
        <v/>
      </c>
      <c r="F267" s="37" t="str">
        <f t="shared" si="54"/>
        <v/>
      </c>
      <c r="G267" s="38">
        <f t="shared" si="57"/>
        <v>0</v>
      </c>
      <c r="H267" s="38">
        <f t="shared" si="57"/>
        <v>0</v>
      </c>
      <c r="I267" s="39">
        <v>0</v>
      </c>
      <c r="J267" s="116">
        <f t="shared" ref="J267:J336" si="64">IF(I267&lt;&gt;"",+I267/$D267,"-")</f>
        <v>0</v>
      </c>
      <c r="K267" s="117">
        <v>0</v>
      </c>
      <c r="L267" s="118">
        <v>1.02</v>
      </c>
      <c r="M267" s="39">
        <f t="shared" si="58"/>
        <v>0</v>
      </c>
      <c r="N267" s="116">
        <f t="shared" si="59"/>
        <v>0</v>
      </c>
      <c r="O267" s="43"/>
      <c r="P267" s="119"/>
      <c r="Q267" s="120"/>
      <c r="R267" s="121"/>
      <c r="S267" s="122"/>
      <c r="T267" s="34">
        <f t="shared" si="52"/>
        <v>0</v>
      </c>
      <c r="U267" s="34">
        <f t="shared" si="60"/>
        <v>0</v>
      </c>
      <c r="V267" s="34">
        <f t="shared" si="61"/>
        <v>0</v>
      </c>
      <c r="W267" s="34">
        <f t="shared" si="62"/>
        <v>0</v>
      </c>
      <c r="X267" s="48" t="s">
        <v>404</v>
      </c>
      <c r="Y267" s="48" t="s">
        <v>38</v>
      </c>
      <c r="Z267" s="49" t="s">
        <v>548</v>
      </c>
      <c r="AA267" s="49"/>
      <c r="AB267" s="33" t="s">
        <v>661</v>
      </c>
      <c r="AC267" s="33"/>
      <c r="AD267" s="50">
        <f t="shared" si="63"/>
        <v>0</v>
      </c>
      <c r="AE267" s="51">
        <f t="shared" si="55"/>
        <v>0</v>
      </c>
      <c r="AF267" s="51">
        <f t="shared" si="56"/>
        <v>0</v>
      </c>
      <c r="AG267" s="52">
        <v>7568</v>
      </c>
      <c r="AH267" s="52">
        <v>6913</v>
      </c>
      <c r="AI267" s="52">
        <v>1</v>
      </c>
      <c r="AJ267" s="53" t="s">
        <v>664</v>
      </c>
    </row>
    <row r="268" spans="1:36" ht="15.75" hidden="1" x14ac:dyDescent="0.25">
      <c r="A268" s="33" t="s">
        <v>665</v>
      </c>
      <c r="B268" s="34">
        <v>4596</v>
      </c>
      <c r="C268" s="34"/>
      <c r="D268" s="35">
        <v>320</v>
      </c>
      <c r="E268" s="36" t="str">
        <f t="shared" si="53"/>
        <v/>
      </c>
      <c r="F268" s="37" t="str">
        <f t="shared" si="54"/>
        <v/>
      </c>
      <c r="G268" s="38">
        <f t="shared" si="57"/>
        <v>0</v>
      </c>
      <c r="H268" s="38">
        <f t="shared" si="57"/>
        <v>0</v>
      </c>
      <c r="I268" s="39">
        <v>0</v>
      </c>
      <c r="J268" s="116">
        <f t="shared" si="64"/>
        <v>0</v>
      </c>
      <c r="K268" s="117">
        <v>0</v>
      </c>
      <c r="L268" s="118">
        <v>1</v>
      </c>
      <c r="M268" s="39">
        <f t="shared" si="58"/>
        <v>0</v>
      </c>
      <c r="N268" s="116">
        <f t="shared" si="59"/>
        <v>0</v>
      </c>
      <c r="O268" s="43"/>
      <c r="P268" s="119"/>
      <c r="Q268" s="120"/>
      <c r="R268" s="121"/>
      <c r="S268" s="122"/>
      <c r="T268" s="34">
        <f t="shared" si="52"/>
        <v>0</v>
      </c>
      <c r="U268" s="34">
        <f t="shared" si="60"/>
        <v>0</v>
      </c>
      <c r="V268" s="34">
        <f t="shared" si="61"/>
        <v>0</v>
      </c>
      <c r="W268" s="34">
        <f t="shared" si="62"/>
        <v>0</v>
      </c>
      <c r="X268" s="48" t="s">
        <v>426</v>
      </c>
      <c r="Y268" s="48" t="s">
        <v>38</v>
      </c>
      <c r="Z268" s="49" t="s">
        <v>548</v>
      </c>
      <c r="AA268" s="49"/>
      <c r="AB268" s="33" t="s">
        <v>666</v>
      </c>
      <c r="AC268" s="33"/>
      <c r="AD268" s="50">
        <f t="shared" si="63"/>
        <v>0</v>
      </c>
      <c r="AE268" s="51">
        <f t="shared" si="55"/>
        <v>0</v>
      </c>
      <c r="AF268" s="51">
        <f t="shared" si="56"/>
        <v>0</v>
      </c>
      <c r="AG268" s="52">
        <v>4593</v>
      </c>
      <c r="AH268" s="52">
        <v>4596</v>
      </c>
      <c r="AI268" s="52">
        <v>1</v>
      </c>
      <c r="AJ268" s="53" t="s">
        <v>667</v>
      </c>
    </row>
    <row r="269" spans="1:36" ht="15.75" hidden="1" x14ac:dyDescent="0.25">
      <c r="A269" s="33" t="s">
        <v>668</v>
      </c>
      <c r="B269" s="34">
        <v>4597</v>
      </c>
      <c r="C269" s="34"/>
      <c r="D269" s="35">
        <v>186</v>
      </c>
      <c r="E269" s="36" t="str">
        <f t="shared" si="53"/>
        <v/>
      </c>
      <c r="F269" s="37" t="str">
        <f t="shared" si="54"/>
        <v/>
      </c>
      <c r="G269" s="38">
        <f t="shared" si="57"/>
        <v>0</v>
      </c>
      <c r="H269" s="38">
        <f t="shared" si="57"/>
        <v>0</v>
      </c>
      <c r="I269" s="39">
        <v>0</v>
      </c>
      <c r="J269" s="116">
        <f t="shared" si="64"/>
        <v>0</v>
      </c>
      <c r="K269" s="117">
        <v>0</v>
      </c>
      <c r="L269" s="118">
        <v>1</v>
      </c>
      <c r="M269" s="39">
        <f t="shared" si="58"/>
        <v>0</v>
      </c>
      <c r="N269" s="116">
        <f t="shared" si="59"/>
        <v>0</v>
      </c>
      <c r="O269" s="43"/>
      <c r="P269" s="119"/>
      <c r="Q269" s="120"/>
      <c r="R269" s="121"/>
      <c r="S269" s="122"/>
      <c r="T269" s="34">
        <f t="shared" si="52"/>
        <v>0</v>
      </c>
      <c r="U269" s="34">
        <f t="shared" si="60"/>
        <v>0</v>
      </c>
      <c r="V269" s="34">
        <f t="shared" si="61"/>
        <v>0</v>
      </c>
      <c r="W269" s="34">
        <f t="shared" si="62"/>
        <v>0</v>
      </c>
      <c r="X269" s="48" t="s">
        <v>426</v>
      </c>
      <c r="Y269" s="48" t="s">
        <v>38</v>
      </c>
      <c r="Z269" s="49" t="s">
        <v>548</v>
      </c>
      <c r="AA269" s="49"/>
      <c r="AB269" s="33" t="s">
        <v>666</v>
      </c>
      <c r="AC269" s="33"/>
      <c r="AD269" s="50">
        <f t="shared" si="63"/>
        <v>0</v>
      </c>
      <c r="AE269" s="51">
        <f t="shared" si="55"/>
        <v>0</v>
      </c>
      <c r="AF269" s="51">
        <f t="shared" si="56"/>
        <v>0</v>
      </c>
      <c r="AG269" s="52">
        <v>4593</v>
      </c>
      <c r="AH269" s="52">
        <v>4597</v>
      </c>
      <c r="AI269" s="52">
        <v>1</v>
      </c>
      <c r="AJ269" s="53" t="s">
        <v>669</v>
      </c>
    </row>
    <row r="270" spans="1:36" ht="15.75" hidden="1" x14ac:dyDescent="0.25">
      <c r="A270" s="33" t="s">
        <v>670</v>
      </c>
      <c r="B270" s="34">
        <v>1500</v>
      </c>
      <c r="C270" s="34"/>
      <c r="D270" s="35" t="s">
        <v>671</v>
      </c>
      <c r="E270" s="36" t="str">
        <f t="shared" si="53"/>
        <v/>
      </c>
      <c r="F270" s="37" t="str">
        <f t="shared" si="54"/>
        <v/>
      </c>
      <c r="G270" s="38">
        <f t="shared" si="57"/>
        <v>0</v>
      </c>
      <c r="H270" s="38">
        <f t="shared" si="57"/>
        <v>0</v>
      </c>
      <c r="I270" s="39"/>
      <c r="J270" s="116" t="str">
        <f t="shared" si="64"/>
        <v>-</v>
      </c>
      <c r="K270" s="117"/>
      <c r="L270" s="118"/>
      <c r="M270" s="39">
        <f t="shared" si="58"/>
        <v>0</v>
      </c>
      <c r="N270" s="116">
        <f t="shared" si="59"/>
        <v>0</v>
      </c>
      <c r="O270" s="43"/>
      <c r="P270" s="119"/>
      <c r="Q270" s="120"/>
      <c r="R270" s="121"/>
      <c r="S270" s="122"/>
      <c r="T270" s="34">
        <f t="shared" si="52"/>
        <v>0</v>
      </c>
      <c r="U270" s="34">
        <f t="shared" si="60"/>
        <v>0</v>
      </c>
      <c r="V270" s="34">
        <f t="shared" si="61"/>
        <v>0</v>
      </c>
      <c r="W270" s="34">
        <f t="shared" si="62"/>
        <v>0</v>
      </c>
      <c r="X270" s="48" t="s">
        <v>37</v>
      </c>
      <c r="Y270" s="48" t="s">
        <v>38</v>
      </c>
      <c r="Z270" s="49" t="s">
        <v>647</v>
      </c>
      <c r="AA270" s="49"/>
      <c r="AB270" s="33" t="s">
        <v>594</v>
      </c>
      <c r="AC270" s="33"/>
      <c r="AD270" s="50">
        <f t="shared" si="63"/>
        <v>0</v>
      </c>
      <c r="AE270" s="51">
        <f t="shared" si="55"/>
        <v>0</v>
      </c>
      <c r="AF270" s="51">
        <f t="shared" si="56"/>
        <v>0</v>
      </c>
      <c r="AG270" s="52" t="s">
        <v>134</v>
      </c>
      <c r="AH270" s="52" t="s">
        <v>134</v>
      </c>
      <c r="AI270" s="52" t="s">
        <v>134</v>
      </c>
      <c r="AJ270" s="53" t="s">
        <v>134</v>
      </c>
    </row>
    <row r="271" spans="1:36" ht="15.75" hidden="1" x14ac:dyDescent="0.25">
      <c r="A271" s="33" t="s">
        <v>672</v>
      </c>
      <c r="B271" s="34">
        <v>998</v>
      </c>
      <c r="C271" s="34"/>
      <c r="D271" s="35">
        <v>350</v>
      </c>
      <c r="E271" s="36" t="str">
        <f t="shared" si="53"/>
        <v/>
      </c>
      <c r="F271" s="37" t="str">
        <f t="shared" si="54"/>
        <v/>
      </c>
      <c r="G271" s="38">
        <f t="shared" si="57"/>
        <v>0</v>
      </c>
      <c r="H271" s="38">
        <f t="shared" si="57"/>
        <v>0</v>
      </c>
      <c r="I271" s="39">
        <v>242</v>
      </c>
      <c r="J271" s="116">
        <f t="shared" si="64"/>
        <v>0.69142857142857139</v>
      </c>
      <c r="K271" s="117">
        <v>-24.9</v>
      </c>
      <c r="L271" s="118">
        <v>1.01</v>
      </c>
      <c r="M271" s="39">
        <f t="shared" si="58"/>
        <v>242</v>
      </c>
      <c r="N271" s="116">
        <f t="shared" si="59"/>
        <v>0.69142857142857139</v>
      </c>
      <c r="O271" s="43"/>
      <c r="P271" s="119"/>
      <c r="Q271" s="120"/>
      <c r="R271" s="121"/>
      <c r="S271" s="122"/>
      <c r="T271" s="34">
        <f t="shared" si="52"/>
        <v>0</v>
      </c>
      <c r="U271" s="34">
        <f t="shared" si="60"/>
        <v>0</v>
      </c>
      <c r="V271" s="34">
        <f t="shared" si="61"/>
        <v>0</v>
      </c>
      <c r="W271" s="34">
        <f t="shared" si="62"/>
        <v>0</v>
      </c>
      <c r="X271" s="48" t="s">
        <v>500</v>
      </c>
      <c r="Y271" s="48" t="s">
        <v>141</v>
      </c>
      <c r="Z271" s="49" t="s">
        <v>673</v>
      </c>
      <c r="AA271" s="49"/>
      <c r="AB271" s="33" t="s">
        <v>674</v>
      </c>
      <c r="AC271" s="33"/>
      <c r="AD271" s="50">
        <f t="shared" si="63"/>
        <v>0.69142857142857139</v>
      </c>
      <c r="AE271" s="51">
        <f t="shared" si="55"/>
        <v>0</v>
      </c>
      <c r="AF271" s="51">
        <f t="shared" si="56"/>
        <v>0</v>
      </c>
      <c r="AG271" s="52">
        <v>997</v>
      </c>
      <c r="AH271" s="52">
        <v>998</v>
      </c>
      <c r="AI271" s="52">
        <v>1</v>
      </c>
      <c r="AJ271" s="53" t="s">
        <v>675</v>
      </c>
    </row>
    <row r="272" spans="1:36" ht="15.75" hidden="1" x14ac:dyDescent="0.25">
      <c r="A272" s="33" t="s">
        <v>676</v>
      </c>
      <c r="B272" s="34">
        <v>1173</v>
      </c>
      <c r="C272" s="34"/>
      <c r="D272" s="35">
        <v>350</v>
      </c>
      <c r="E272" s="36" t="str">
        <f t="shared" si="53"/>
        <v/>
      </c>
      <c r="F272" s="37" t="str">
        <f t="shared" si="54"/>
        <v/>
      </c>
      <c r="G272" s="38">
        <f t="shared" si="57"/>
        <v>0</v>
      </c>
      <c r="H272" s="38">
        <f t="shared" si="57"/>
        <v>0</v>
      </c>
      <c r="I272" s="39">
        <v>210</v>
      </c>
      <c r="J272" s="116">
        <f t="shared" si="64"/>
        <v>0.6</v>
      </c>
      <c r="K272" s="117">
        <v>19.27</v>
      </c>
      <c r="L272" s="118">
        <v>1.01</v>
      </c>
      <c r="M272" s="39">
        <f t="shared" si="58"/>
        <v>210</v>
      </c>
      <c r="N272" s="116">
        <f t="shared" si="59"/>
        <v>0.6</v>
      </c>
      <c r="O272" s="43"/>
      <c r="P272" s="119"/>
      <c r="Q272" s="120"/>
      <c r="R272" s="121"/>
      <c r="S272" s="122"/>
      <c r="T272" s="34">
        <f t="shared" si="52"/>
        <v>0</v>
      </c>
      <c r="U272" s="34">
        <f t="shared" si="60"/>
        <v>0</v>
      </c>
      <c r="V272" s="34">
        <f t="shared" si="61"/>
        <v>0</v>
      </c>
      <c r="W272" s="34">
        <f t="shared" si="62"/>
        <v>0</v>
      </c>
      <c r="X272" s="48" t="s">
        <v>500</v>
      </c>
      <c r="Y272" s="48" t="s">
        <v>141</v>
      </c>
      <c r="Z272" s="49" t="s">
        <v>673</v>
      </c>
      <c r="AA272" s="49"/>
      <c r="AB272" s="33" t="s">
        <v>674</v>
      </c>
      <c r="AC272" s="33"/>
      <c r="AD272" s="50">
        <f t="shared" si="63"/>
        <v>0.6</v>
      </c>
      <c r="AE272" s="51">
        <f t="shared" si="55"/>
        <v>0</v>
      </c>
      <c r="AF272" s="51">
        <f t="shared" si="56"/>
        <v>0</v>
      </c>
      <c r="AG272" s="52">
        <v>1174</v>
      </c>
      <c r="AH272" s="52">
        <v>1173</v>
      </c>
      <c r="AI272" s="52">
        <v>1</v>
      </c>
      <c r="AJ272" s="53" t="s">
        <v>677</v>
      </c>
    </row>
    <row r="273" spans="1:36" ht="15.75" hidden="1" x14ac:dyDescent="0.25">
      <c r="A273" s="33" t="s">
        <v>678</v>
      </c>
      <c r="B273" s="34">
        <v>913</v>
      </c>
      <c r="C273" s="34"/>
      <c r="D273" s="35">
        <v>330</v>
      </c>
      <c r="E273" s="36" t="str">
        <f t="shared" si="53"/>
        <v/>
      </c>
      <c r="F273" s="37" t="str">
        <f t="shared" si="54"/>
        <v/>
      </c>
      <c r="G273" s="38">
        <f t="shared" si="57"/>
        <v>0</v>
      </c>
      <c r="H273" s="38">
        <f t="shared" si="57"/>
        <v>0</v>
      </c>
      <c r="I273" s="39">
        <v>240</v>
      </c>
      <c r="J273" s="116">
        <f t="shared" si="64"/>
        <v>0.72727272727272729</v>
      </c>
      <c r="K273" s="117">
        <v>11.21</v>
      </c>
      <c r="L273" s="118">
        <v>0.97699999999999998</v>
      </c>
      <c r="M273" s="39">
        <f t="shared" si="58"/>
        <v>240</v>
      </c>
      <c r="N273" s="116">
        <f t="shared" si="59"/>
        <v>0.72727272727272729</v>
      </c>
      <c r="O273" s="43"/>
      <c r="P273" s="119"/>
      <c r="Q273" s="120"/>
      <c r="R273" s="121"/>
      <c r="S273" s="122"/>
      <c r="T273" s="34">
        <f t="shared" si="52"/>
        <v>0</v>
      </c>
      <c r="U273" s="34">
        <f t="shared" si="60"/>
        <v>0</v>
      </c>
      <c r="V273" s="34">
        <f t="shared" si="61"/>
        <v>0</v>
      </c>
      <c r="W273" s="34">
        <f t="shared" si="62"/>
        <v>0</v>
      </c>
      <c r="X273" s="48" t="s">
        <v>484</v>
      </c>
      <c r="Y273" s="48" t="s">
        <v>141</v>
      </c>
      <c r="Z273" s="49" t="s">
        <v>673</v>
      </c>
      <c r="AA273" s="49"/>
      <c r="AB273" s="33" t="s">
        <v>679</v>
      </c>
      <c r="AC273" s="33"/>
      <c r="AD273" s="50">
        <f t="shared" si="63"/>
        <v>0.72727272727272729</v>
      </c>
      <c r="AE273" s="51">
        <f t="shared" si="55"/>
        <v>0</v>
      </c>
      <c r="AF273" s="51">
        <f t="shared" si="56"/>
        <v>0</v>
      </c>
      <c r="AG273" s="52">
        <v>1011</v>
      </c>
      <c r="AH273" s="52">
        <v>913</v>
      </c>
      <c r="AI273" s="52">
        <v>1</v>
      </c>
      <c r="AJ273" s="53" t="s">
        <v>680</v>
      </c>
    </row>
    <row r="274" spans="1:36" ht="15.75" hidden="1" x14ac:dyDescent="0.25">
      <c r="A274" s="33" t="s">
        <v>681</v>
      </c>
      <c r="B274" s="34">
        <v>911</v>
      </c>
      <c r="C274" s="34"/>
      <c r="D274" s="35">
        <v>220</v>
      </c>
      <c r="E274" s="36" t="str">
        <f t="shared" si="53"/>
        <v/>
      </c>
      <c r="F274" s="37" t="str">
        <f t="shared" si="54"/>
        <v/>
      </c>
      <c r="G274" s="38">
        <f t="shared" si="57"/>
        <v>0</v>
      </c>
      <c r="H274" s="38">
        <f t="shared" si="57"/>
        <v>0</v>
      </c>
      <c r="I274" s="39">
        <v>100</v>
      </c>
      <c r="J274" s="116">
        <f t="shared" si="64"/>
        <v>0.45454545454545453</v>
      </c>
      <c r="K274" s="117">
        <v>6.5449999999999999</v>
      </c>
      <c r="L274" s="118">
        <v>0.98</v>
      </c>
      <c r="M274" s="39">
        <f t="shared" si="58"/>
        <v>100</v>
      </c>
      <c r="N274" s="116">
        <f t="shared" si="59"/>
        <v>0.45454545454545453</v>
      </c>
      <c r="O274" s="43"/>
      <c r="P274" s="119"/>
      <c r="Q274" s="120"/>
      <c r="R274" s="121"/>
      <c r="S274" s="122"/>
      <c r="T274" s="34">
        <f t="shared" si="52"/>
        <v>0</v>
      </c>
      <c r="U274" s="34">
        <f t="shared" si="60"/>
        <v>0</v>
      </c>
      <c r="V274" s="34">
        <f t="shared" si="61"/>
        <v>0</v>
      </c>
      <c r="W274" s="34">
        <f t="shared" si="62"/>
        <v>0</v>
      </c>
      <c r="X274" s="48" t="s">
        <v>484</v>
      </c>
      <c r="Y274" s="48" t="s">
        <v>141</v>
      </c>
      <c r="Z274" s="49" t="s">
        <v>673</v>
      </c>
      <c r="AA274" s="49"/>
      <c r="AB274" s="33" t="s">
        <v>679</v>
      </c>
      <c r="AC274" s="33"/>
      <c r="AD274" s="50">
        <f t="shared" si="63"/>
        <v>0.45454545454545453</v>
      </c>
      <c r="AE274" s="51">
        <f t="shared" si="55"/>
        <v>0</v>
      </c>
      <c r="AF274" s="51">
        <f t="shared" si="56"/>
        <v>0</v>
      </c>
      <c r="AG274" s="52">
        <v>1010</v>
      </c>
      <c r="AH274" s="52">
        <v>911</v>
      </c>
      <c r="AI274" s="52">
        <v>1</v>
      </c>
      <c r="AJ274" s="53" t="s">
        <v>682</v>
      </c>
    </row>
    <row r="275" spans="1:36" ht="15.75" hidden="1" x14ac:dyDescent="0.25">
      <c r="A275" s="33" t="s">
        <v>683</v>
      </c>
      <c r="B275" s="34">
        <v>909</v>
      </c>
      <c r="C275" s="34"/>
      <c r="D275" s="35">
        <v>110</v>
      </c>
      <c r="E275" s="36" t="str">
        <f t="shared" si="53"/>
        <v/>
      </c>
      <c r="F275" s="37" t="str">
        <f t="shared" si="54"/>
        <v/>
      </c>
      <c r="G275" s="38">
        <f t="shared" si="57"/>
        <v>0</v>
      </c>
      <c r="H275" s="38">
        <f t="shared" si="57"/>
        <v>0</v>
      </c>
      <c r="I275" s="39">
        <v>40</v>
      </c>
      <c r="J275" s="116">
        <f t="shared" si="64"/>
        <v>0.36363636363636365</v>
      </c>
      <c r="K275" s="117">
        <v>2.0950000000000002</v>
      </c>
      <c r="L275" s="118">
        <v>0.97599999999999998</v>
      </c>
      <c r="M275" s="39">
        <f t="shared" si="58"/>
        <v>40</v>
      </c>
      <c r="N275" s="116">
        <f t="shared" si="59"/>
        <v>0.36363636363636365</v>
      </c>
      <c r="O275" s="43"/>
      <c r="P275" s="119"/>
      <c r="Q275" s="120"/>
      <c r="R275" s="121"/>
      <c r="S275" s="122"/>
      <c r="T275" s="34">
        <f t="shared" si="52"/>
        <v>0</v>
      </c>
      <c r="U275" s="34">
        <f t="shared" si="60"/>
        <v>0</v>
      </c>
      <c r="V275" s="34">
        <f t="shared" si="61"/>
        <v>0</v>
      </c>
      <c r="W275" s="34">
        <f t="shared" si="62"/>
        <v>0</v>
      </c>
      <c r="X275" s="48" t="s">
        <v>484</v>
      </c>
      <c r="Y275" s="48" t="s">
        <v>141</v>
      </c>
      <c r="Z275" s="49" t="s">
        <v>673</v>
      </c>
      <c r="AA275" s="49"/>
      <c r="AB275" s="33" t="s">
        <v>679</v>
      </c>
      <c r="AC275" s="33"/>
      <c r="AD275" s="50">
        <f t="shared" si="63"/>
        <v>0.36363636363636365</v>
      </c>
      <c r="AE275" s="51">
        <f t="shared" si="55"/>
        <v>0</v>
      </c>
      <c r="AF275" s="51">
        <f t="shared" si="56"/>
        <v>0</v>
      </c>
      <c r="AG275" s="52">
        <v>1006</v>
      </c>
      <c r="AH275" s="52">
        <v>909</v>
      </c>
      <c r="AI275" s="52">
        <v>1</v>
      </c>
      <c r="AJ275" s="53" t="s">
        <v>684</v>
      </c>
    </row>
    <row r="276" spans="1:36" ht="15.75" hidden="1" x14ac:dyDescent="0.25">
      <c r="A276" s="33" t="s">
        <v>685</v>
      </c>
      <c r="B276" s="34">
        <v>907</v>
      </c>
      <c r="C276" s="34"/>
      <c r="D276" s="35">
        <v>80</v>
      </c>
      <c r="E276" s="36" t="str">
        <f t="shared" si="53"/>
        <v/>
      </c>
      <c r="F276" s="37" t="str">
        <f t="shared" si="54"/>
        <v/>
      </c>
      <c r="G276" s="38">
        <f t="shared" si="57"/>
        <v>0</v>
      </c>
      <c r="H276" s="38">
        <f t="shared" si="57"/>
        <v>0</v>
      </c>
      <c r="I276" s="39">
        <v>0</v>
      </c>
      <c r="J276" s="116">
        <f t="shared" si="64"/>
        <v>0</v>
      </c>
      <c r="K276" s="117">
        <v>0</v>
      </c>
      <c r="L276" s="118">
        <v>0.97499999999999998</v>
      </c>
      <c r="M276" s="39">
        <f t="shared" si="58"/>
        <v>0</v>
      </c>
      <c r="N276" s="116">
        <f t="shared" si="59"/>
        <v>0</v>
      </c>
      <c r="O276" s="43"/>
      <c r="P276" s="119"/>
      <c r="Q276" s="120"/>
      <c r="R276" s="121"/>
      <c r="S276" s="122"/>
      <c r="T276" s="34">
        <f t="shared" si="52"/>
        <v>0</v>
      </c>
      <c r="U276" s="34">
        <f t="shared" si="60"/>
        <v>0</v>
      </c>
      <c r="V276" s="34">
        <f t="shared" si="61"/>
        <v>0</v>
      </c>
      <c r="W276" s="34">
        <f t="shared" si="62"/>
        <v>0</v>
      </c>
      <c r="X276" s="48" t="s">
        <v>484</v>
      </c>
      <c r="Y276" s="48" t="s">
        <v>141</v>
      </c>
      <c r="Z276" s="49" t="s">
        <v>673</v>
      </c>
      <c r="AA276" s="49"/>
      <c r="AB276" s="33" t="s">
        <v>679</v>
      </c>
      <c r="AC276" s="33"/>
      <c r="AD276" s="50">
        <f t="shared" si="63"/>
        <v>0</v>
      </c>
      <c r="AE276" s="51">
        <f t="shared" si="55"/>
        <v>0</v>
      </c>
      <c r="AF276" s="51">
        <f t="shared" si="56"/>
        <v>0</v>
      </c>
      <c r="AG276" s="52">
        <v>1007</v>
      </c>
      <c r="AH276" s="52">
        <v>907</v>
      </c>
      <c r="AI276" s="52">
        <v>1</v>
      </c>
      <c r="AJ276" s="53" t="s">
        <v>686</v>
      </c>
    </row>
    <row r="277" spans="1:36" ht="15.75" hidden="1" x14ac:dyDescent="0.25">
      <c r="A277" s="33" t="s">
        <v>687</v>
      </c>
      <c r="B277" s="34">
        <v>1152</v>
      </c>
      <c r="C277" s="34"/>
      <c r="D277" s="35">
        <v>160</v>
      </c>
      <c r="E277" s="36" t="str">
        <f t="shared" si="53"/>
        <v/>
      </c>
      <c r="F277" s="37" t="str">
        <f t="shared" si="54"/>
        <v/>
      </c>
      <c r="G277" s="38">
        <f t="shared" si="57"/>
        <v>0</v>
      </c>
      <c r="H277" s="38">
        <f t="shared" si="57"/>
        <v>0</v>
      </c>
      <c r="I277" s="39">
        <v>0</v>
      </c>
      <c r="J277" s="116">
        <f t="shared" si="64"/>
        <v>0</v>
      </c>
      <c r="K277" s="117">
        <v>0</v>
      </c>
      <c r="L277" s="118">
        <v>1</v>
      </c>
      <c r="M277" s="39">
        <f t="shared" si="58"/>
        <v>0</v>
      </c>
      <c r="N277" s="116">
        <f t="shared" si="59"/>
        <v>0</v>
      </c>
      <c r="O277" s="43"/>
      <c r="P277" s="119"/>
      <c r="Q277" s="120"/>
      <c r="R277" s="121"/>
      <c r="S277" s="122"/>
      <c r="T277" s="34">
        <f t="shared" si="52"/>
        <v>0</v>
      </c>
      <c r="U277" s="34">
        <f t="shared" si="60"/>
        <v>0</v>
      </c>
      <c r="V277" s="34">
        <f t="shared" si="61"/>
        <v>0</v>
      </c>
      <c r="W277" s="34">
        <f t="shared" si="62"/>
        <v>0</v>
      </c>
      <c r="X277" s="48" t="s">
        <v>500</v>
      </c>
      <c r="Y277" s="48" t="s">
        <v>141</v>
      </c>
      <c r="Z277" s="49" t="s">
        <v>548</v>
      </c>
      <c r="AA277" s="49"/>
      <c r="AB277" s="33" t="s">
        <v>674</v>
      </c>
      <c r="AC277" s="33"/>
      <c r="AD277" s="50">
        <f t="shared" si="63"/>
        <v>0</v>
      </c>
      <c r="AE277" s="51">
        <f t="shared" si="55"/>
        <v>0</v>
      </c>
      <c r="AF277" s="51">
        <f t="shared" si="56"/>
        <v>0</v>
      </c>
      <c r="AG277" s="52">
        <v>1248</v>
      </c>
      <c r="AH277" s="52">
        <v>1152</v>
      </c>
      <c r="AI277" s="52">
        <v>1</v>
      </c>
      <c r="AJ277" s="53" t="s">
        <v>688</v>
      </c>
    </row>
    <row r="278" spans="1:36" ht="15.75" hidden="1" x14ac:dyDescent="0.25">
      <c r="A278" s="33" t="s">
        <v>689</v>
      </c>
      <c r="B278" s="34">
        <v>1169</v>
      </c>
      <c r="C278" s="34"/>
      <c r="D278" s="35">
        <v>88</v>
      </c>
      <c r="E278" s="36" t="str">
        <f t="shared" si="53"/>
        <v/>
      </c>
      <c r="F278" s="37" t="str">
        <f t="shared" si="54"/>
        <v/>
      </c>
      <c r="G278" s="38">
        <f t="shared" si="57"/>
        <v>0</v>
      </c>
      <c r="H278" s="38">
        <f t="shared" si="57"/>
        <v>0</v>
      </c>
      <c r="I278" s="39">
        <v>0</v>
      </c>
      <c r="J278" s="116">
        <f t="shared" si="64"/>
        <v>0</v>
      </c>
      <c r="K278" s="117">
        <v>0</v>
      </c>
      <c r="L278" s="118">
        <v>1</v>
      </c>
      <c r="M278" s="39">
        <f t="shared" si="58"/>
        <v>0</v>
      </c>
      <c r="N278" s="116">
        <f t="shared" si="59"/>
        <v>0</v>
      </c>
      <c r="O278" s="43"/>
      <c r="P278" s="119"/>
      <c r="Q278" s="120"/>
      <c r="R278" s="121"/>
      <c r="S278" s="122"/>
      <c r="T278" s="34">
        <f t="shared" si="52"/>
        <v>0</v>
      </c>
      <c r="U278" s="34">
        <f t="shared" si="60"/>
        <v>0</v>
      </c>
      <c r="V278" s="34">
        <f t="shared" si="61"/>
        <v>0</v>
      </c>
      <c r="W278" s="34">
        <f t="shared" si="62"/>
        <v>0</v>
      </c>
      <c r="X278" s="48" t="s">
        <v>500</v>
      </c>
      <c r="Y278" s="48" t="s">
        <v>141</v>
      </c>
      <c r="Z278" s="49" t="s">
        <v>548</v>
      </c>
      <c r="AA278" s="49"/>
      <c r="AB278" s="33" t="s">
        <v>674</v>
      </c>
      <c r="AC278" s="33"/>
      <c r="AD278" s="50">
        <f t="shared" si="63"/>
        <v>0</v>
      </c>
      <c r="AE278" s="51">
        <f t="shared" si="55"/>
        <v>0</v>
      </c>
      <c r="AF278" s="51">
        <f t="shared" si="56"/>
        <v>0</v>
      </c>
      <c r="AG278" s="52">
        <v>1248</v>
      </c>
      <c r="AH278" s="52">
        <v>1169</v>
      </c>
      <c r="AI278" s="52">
        <v>1</v>
      </c>
      <c r="AJ278" s="53" t="s">
        <v>690</v>
      </c>
    </row>
    <row r="279" spans="1:36" ht="15.75" hidden="1" x14ac:dyDescent="0.25">
      <c r="A279" s="58" t="s">
        <v>691</v>
      </c>
      <c r="B279" s="59">
        <v>802</v>
      </c>
      <c r="C279" s="59"/>
      <c r="D279" s="60">
        <v>315</v>
      </c>
      <c r="E279" s="36" t="str">
        <f t="shared" si="53"/>
        <v/>
      </c>
      <c r="F279" s="37" t="str">
        <f t="shared" si="54"/>
        <v/>
      </c>
      <c r="G279" s="38">
        <f t="shared" si="57"/>
        <v>0</v>
      </c>
      <c r="H279" s="38">
        <f t="shared" si="57"/>
        <v>0</v>
      </c>
      <c r="I279" s="39">
        <v>0</v>
      </c>
      <c r="J279" s="116">
        <f t="shared" si="64"/>
        <v>0</v>
      </c>
      <c r="K279" s="117">
        <v>0</v>
      </c>
      <c r="L279" s="118">
        <v>1.01</v>
      </c>
      <c r="M279" s="39">
        <f t="shared" si="58"/>
        <v>0</v>
      </c>
      <c r="N279" s="116">
        <f t="shared" si="59"/>
        <v>0</v>
      </c>
      <c r="O279" s="43"/>
      <c r="P279" s="119"/>
      <c r="Q279" s="120"/>
      <c r="R279" s="121"/>
      <c r="S279" s="122"/>
      <c r="T279" s="34">
        <f t="shared" si="52"/>
        <v>0</v>
      </c>
      <c r="U279" s="34">
        <f t="shared" si="60"/>
        <v>0</v>
      </c>
      <c r="V279" s="34">
        <f t="shared" si="61"/>
        <v>0</v>
      </c>
      <c r="W279" s="34">
        <f t="shared" si="62"/>
        <v>0</v>
      </c>
      <c r="X279" s="48" t="s">
        <v>155</v>
      </c>
      <c r="Y279" s="48" t="s">
        <v>141</v>
      </c>
      <c r="Z279" s="49" t="s">
        <v>548</v>
      </c>
      <c r="AA279" s="49"/>
      <c r="AB279" s="33" t="s">
        <v>692</v>
      </c>
      <c r="AC279" s="33"/>
      <c r="AD279" s="50">
        <f t="shared" si="63"/>
        <v>0</v>
      </c>
      <c r="AE279" s="51">
        <f t="shared" si="55"/>
        <v>0</v>
      </c>
      <c r="AF279" s="51">
        <f t="shared" si="56"/>
        <v>0</v>
      </c>
      <c r="AG279" s="52">
        <v>813</v>
      </c>
      <c r="AH279" s="52">
        <v>802</v>
      </c>
      <c r="AI279" s="52">
        <v>1</v>
      </c>
      <c r="AJ279" s="53" t="s">
        <v>693</v>
      </c>
    </row>
    <row r="280" spans="1:36" ht="15.75" hidden="1" x14ac:dyDescent="0.25">
      <c r="A280" s="58" t="s">
        <v>694</v>
      </c>
      <c r="B280" s="59">
        <v>803</v>
      </c>
      <c r="C280" s="59"/>
      <c r="D280" s="60">
        <v>169</v>
      </c>
      <c r="E280" s="36" t="str">
        <f t="shared" si="53"/>
        <v/>
      </c>
      <c r="F280" s="37" t="str">
        <f t="shared" si="54"/>
        <v/>
      </c>
      <c r="G280" s="38">
        <f t="shared" si="57"/>
        <v>0</v>
      </c>
      <c r="H280" s="38">
        <f t="shared" si="57"/>
        <v>0</v>
      </c>
      <c r="I280" s="39">
        <v>0</v>
      </c>
      <c r="J280" s="116">
        <f t="shared" si="64"/>
        <v>0</v>
      </c>
      <c r="K280" s="117">
        <v>0</v>
      </c>
      <c r="L280" s="118">
        <v>1.01</v>
      </c>
      <c r="M280" s="39">
        <f t="shared" si="58"/>
        <v>0</v>
      </c>
      <c r="N280" s="116">
        <f t="shared" si="59"/>
        <v>0</v>
      </c>
      <c r="O280" s="43"/>
      <c r="P280" s="119"/>
      <c r="Q280" s="120"/>
      <c r="R280" s="121"/>
      <c r="S280" s="122"/>
      <c r="T280" s="34">
        <f t="shared" si="52"/>
        <v>0</v>
      </c>
      <c r="U280" s="34">
        <f t="shared" si="60"/>
        <v>0</v>
      </c>
      <c r="V280" s="34">
        <f t="shared" si="61"/>
        <v>0</v>
      </c>
      <c r="W280" s="34">
        <f t="shared" si="62"/>
        <v>0</v>
      </c>
      <c r="X280" s="48" t="s">
        <v>155</v>
      </c>
      <c r="Y280" s="48" t="s">
        <v>141</v>
      </c>
      <c r="Z280" s="49" t="s">
        <v>548</v>
      </c>
      <c r="AA280" s="49"/>
      <c r="AB280" s="33" t="s">
        <v>692</v>
      </c>
      <c r="AC280" s="33"/>
      <c r="AD280" s="50">
        <f t="shared" si="63"/>
        <v>0</v>
      </c>
      <c r="AE280" s="51">
        <f t="shared" si="55"/>
        <v>0</v>
      </c>
      <c r="AF280" s="51">
        <f t="shared" si="56"/>
        <v>0</v>
      </c>
      <c r="AG280" s="52">
        <v>813</v>
      </c>
      <c r="AH280" s="52">
        <v>803</v>
      </c>
      <c r="AI280" s="52">
        <v>1</v>
      </c>
      <c r="AJ280" s="53" t="s">
        <v>695</v>
      </c>
    </row>
    <row r="281" spans="1:36" ht="15.75" hidden="1" x14ac:dyDescent="0.25">
      <c r="A281" s="58" t="s">
        <v>696</v>
      </c>
      <c r="B281" s="59">
        <v>1164</v>
      </c>
      <c r="C281" s="59"/>
      <c r="D281" s="60">
        <v>370</v>
      </c>
      <c r="E281" s="36" t="str">
        <f t="shared" si="53"/>
        <v/>
      </c>
      <c r="F281" s="37" t="str">
        <f t="shared" si="54"/>
        <v/>
      </c>
      <c r="G281" s="38">
        <f t="shared" si="57"/>
        <v>0</v>
      </c>
      <c r="H281" s="38">
        <f t="shared" si="57"/>
        <v>0</v>
      </c>
      <c r="I281" s="39">
        <v>0</v>
      </c>
      <c r="J281" s="116">
        <f t="shared" si="64"/>
        <v>0</v>
      </c>
      <c r="K281" s="117">
        <v>0</v>
      </c>
      <c r="L281" s="118">
        <v>1</v>
      </c>
      <c r="M281" s="39">
        <f t="shared" si="58"/>
        <v>0</v>
      </c>
      <c r="N281" s="116">
        <f t="shared" si="59"/>
        <v>0</v>
      </c>
      <c r="O281" s="43"/>
      <c r="P281" s="119"/>
      <c r="Q281" s="120"/>
      <c r="R281" s="121"/>
      <c r="S281" s="122"/>
      <c r="T281" s="34">
        <f t="shared" si="52"/>
        <v>0</v>
      </c>
      <c r="U281" s="34">
        <f t="shared" si="60"/>
        <v>0</v>
      </c>
      <c r="V281" s="34">
        <f t="shared" si="61"/>
        <v>0</v>
      </c>
      <c r="W281" s="34">
        <f t="shared" si="62"/>
        <v>0</v>
      </c>
      <c r="X281" s="48" t="s">
        <v>500</v>
      </c>
      <c r="Y281" s="48" t="s">
        <v>141</v>
      </c>
      <c r="Z281" s="49" t="s">
        <v>548</v>
      </c>
      <c r="AA281" s="49"/>
      <c r="AB281" s="33" t="s">
        <v>674</v>
      </c>
      <c r="AC281" s="33"/>
      <c r="AD281" s="50">
        <f t="shared" si="63"/>
        <v>0</v>
      </c>
      <c r="AE281" s="51">
        <f t="shared" si="55"/>
        <v>0</v>
      </c>
      <c r="AF281" s="51">
        <f t="shared" si="56"/>
        <v>0</v>
      </c>
      <c r="AG281" s="52">
        <v>1294</v>
      </c>
      <c r="AH281" s="52">
        <v>1164</v>
      </c>
      <c r="AI281" s="52">
        <v>1</v>
      </c>
      <c r="AJ281" s="53" t="s">
        <v>697</v>
      </c>
    </row>
    <row r="282" spans="1:36" ht="15.75" hidden="1" x14ac:dyDescent="0.25">
      <c r="A282" s="58" t="s">
        <v>698</v>
      </c>
      <c r="B282" s="59">
        <v>1165</v>
      </c>
      <c r="C282" s="59"/>
      <c r="D282" s="60">
        <v>264</v>
      </c>
      <c r="E282" s="36" t="str">
        <f t="shared" si="53"/>
        <v/>
      </c>
      <c r="F282" s="37" t="str">
        <f t="shared" si="54"/>
        <v/>
      </c>
      <c r="G282" s="38">
        <f t="shared" si="57"/>
        <v>0</v>
      </c>
      <c r="H282" s="38">
        <f t="shared" si="57"/>
        <v>0</v>
      </c>
      <c r="I282" s="39">
        <v>0</v>
      </c>
      <c r="J282" s="116">
        <f t="shared" si="64"/>
        <v>0</v>
      </c>
      <c r="K282" s="117">
        <v>0</v>
      </c>
      <c r="L282" s="118">
        <v>1</v>
      </c>
      <c r="M282" s="39">
        <f t="shared" si="58"/>
        <v>0</v>
      </c>
      <c r="N282" s="116">
        <f t="shared" si="59"/>
        <v>0</v>
      </c>
      <c r="O282" s="43"/>
      <c r="P282" s="119"/>
      <c r="Q282" s="120"/>
      <c r="R282" s="121"/>
      <c r="S282" s="122"/>
      <c r="T282" s="34">
        <f t="shared" si="52"/>
        <v>0</v>
      </c>
      <c r="U282" s="34">
        <f t="shared" si="60"/>
        <v>0</v>
      </c>
      <c r="V282" s="34">
        <f t="shared" si="61"/>
        <v>0</v>
      </c>
      <c r="W282" s="34">
        <f t="shared" si="62"/>
        <v>0</v>
      </c>
      <c r="X282" s="48" t="s">
        <v>500</v>
      </c>
      <c r="Y282" s="48" t="s">
        <v>141</v>
      </c>
      <c r="Z282" s="49" t="s">
        <v>548</v>
      </c>
      <c r="AA282" s="49"/>
      <c r="AB282" s="33" t="s">
        <v>674</v>
      </c>
      <c r="AC282" s="33"/>
      <c r="AD282" s="50">
        <f t="shared" si="63"/>
        <v>0</v>
      </c>
      <c r="AE282" s="51">
        <f t="shared" si="55"/>
        <v>0</v>
      </c>
      <c r="AF282" s="51">
        <f t="shared" si="56"/>
        <v>0</v>
      </c>
      <c r="AG282" s="52">
        <v>1294</v>
      </c>
      <c r="AH282" s="52">
        <v>1165</v>
      </c>
      <c r="AI282" s="52">
        <v>1</v>
      </c>
      <c r="AJ282" s="53" t="s">
        <v>699</v>
      </c>
    </row>
    <row r="283" spans="1:36" ht="15.75" hidden="1" x14ac:dyDescent="0.25">
      <c r="A283" s="33" t="s">
        <v>700</v>
      </c>
      <c r="B283" s="34">
        <v>927</v>
      </c>
      <c r="C283" s="34"/>
      <c r="D283" s="123">
        <v>42</v>
      </c>
      <c r="E283" s="36" t="str">
        <f t="shared" si="53"/>
        <v/>
      </c>
      <c r="F283" s="37" t="str">
        <f t="shared" si="54"/>
        <v/>
      </c>
      <c r="G283" s="38">
        <f t="shared" si="57"/>
        <v>0</v>
      </c>
      <c r="H283" s="38">
        <f t="shared" si="57"/>
        <v>0</v>
      </c>
      <c r="I283" s="39">
        <v>0</v>
      </c>
      <c r="J283" s="116">
        <f t="shared" si="64"/>
        <v>0</v>
      </c>
      <c r="K283" s="117">
        <v>0</v>
      </c>
      <c r="L283" s="118">
        <v>0.99399999999999999</v>
      </c>
      <c r="M283" s="39">
        <f t="shared" si="58"/>
        <v>0</v>
      </c>
      <c r="N283" s="116">
        <f t="shared" si="59"/>
        <v>0</v>
      </c>
      <c r="O283" s="43"/>
      <c r="P283" s="119"/>
      <c r="Q283" s="120"/>
      <c r="R283" s="121"/>
      <c r="S283" s="122"/>
      <c r="T283" s="34">
        <f t="shared" si="52"/>
        <v>0</v>
      </c>
      <c r="U283" s="34">
        <f t="shared" si="60"/>
        <v>0</v>
      </c>
      <c r="V283" s="34">
        <f t="shared" si="61"/>
        <v>0</v>
      </c>
      <c r="W283" s="34">
        <f t="shared" si="62"/>
        <v>0</v>
      </c>
      <c r="X283" s="48" t="s">
        <v>140</v>
      </c>
      <c r="Y283" s="48" t="s">
        <v>141</v>
      </c>
      <c r="Z283" s="49" t="s">
        <v>548</v>
      </c>
      <c r="AA283" s="49"/>
      <c r="AB283" s="33" t="s">
        <v>143</v>
      </c>
      <c r="AC283" s="33"/>
      <c r="AD283" s="50">
        <f t="shared" si="63"/>
        <v>0</v>
      </c>
      <c r="AE283" s="51">
        <f t="shared" si="55"/>
        <v>0</v>
      </c>
      <c r="AF283" s="51">
        <f t="shared" si="56"/>
        <v>0</v>
      </c>
      <c r="AG283" s="52">
        <v>1890</v>
      </c>
      <c r="AH283" s="52">
        <v>927</v>
      </c>
      <c r="AI283" s="52">
        <v>1</v>
      </c>
      <c r="AJ283" s="53" t="s">
        <v>701</v>
      </c>
    </row>
    <row r="284" spans="1:36" ht="15.75" hidden="1" x14ac:dyDescent="0.25">
      <c r="A284" s="33" t="s">
        <v>702</v>
      </c>
      <c r="B284" s="34">
        <v>928</v>
      </c>
      <c r="C284" s="34"/>
      <c r="D284" s="123">
        <v>41</v>
      </c>
      <c r="E284" s="36" t="str">
        <f t="shared" si="53"/>
        <v/>
      </c>
      <c r="F284" s="37" t="str">
        <f t="shared" si="54"/>
        <v/>
      </c>
      <c r="G284" s="38">
        <f t="shared" si="57"/>
        <v>0</v>
      </c>
      <c r="H284" s="38">
        <f t="shared" si="57"/>
        <v>0</v>
      </c>
      <c r="I284" s="39">
        <v>0</v>
      </c>
      <c r="J284" s="116">
        <f t="shared" si="64"/>
        <v>0</v>
      </c>
      <c r="K284" s="117">
        <v>0</v>
      </c>
      <c r="L284" s="118">
        <v>0.99399999999999999</v>
      </c>
      <c r="M284" s="39">
        <f t="shared" si="58"/>
        <v>0</v>
      </c>
      <c r="N284" s="116">
        <f t="shared" si="59"/>
        <v>0</v>
      </c>
      <c r="O284" s="43"/>
      <c r="P284" s="119"/>
      <c r="Q284" s="120"/>
      <c r="R284" s="121"/>
      <c r="S284" s="122"/>
      <c r="T284" s="34">
        <f t="shared" si="52"/>
        <v>0</v>
      </c>
      <c r="U284" s="34">
        <f t="shared" si="60"/>
        <v>0</v>
      </c>
      <c r="V284" s="34">
        <f t="shared" si="61"/>
        <v>0</v>
      </c>
      <c r="W284" s="34">
        <f t="shared" si="62"/>
        <v>0</v>
      </c>
      <c r="X284" s="48" t="s">
        <v>140</v>
      </c>
      <c r="Y284" s="48" t="s">
        <v>141</v>
      </c>
      <c r="Z284" s="49" t="s">
        <v>548</v>
      </c>
      <c r="AA284" s="49"/>
      <c r="AB284" s="33" t="s">
        <v>143</v>
      </c>
      <c r="AC284" s="33"/>
      <c r="AD284" s="50">
        <f t="shared" si="63"/>
        <v>0</v>
      </c>
      <c r="AE284" s="51">
        <f t="shared" si="55"/>
        <v>0</v>
      </c>
      <c r="AF284" s="51">
        <f t="shared" si="56"/>
        <v>0</v>
      </c>
      <c r="AG284" s="52">
        <v>1890</v>
      </c>
      <c r="AH284" s="52">
        <v>928</v>
      </c>
      <c r="AI284" s="52">
        <v>2</v>
      </c>
      <c r="AJ284" s="53" t="s">
        <v>703</v>
      </c>
    </row>
    <row r="285" spans="1:36" ht="15.75" hidden="1" x14ac:dyDescent="0.25">
      <c r="A285" s="33" t="s">
        <v>704</v>
      </c>
      <c r="B285" s="34">
        <v>929</v>
      </c>
      <c r="C285" s="34"/>
      <c r="D285" s="123">
        <v>31</v>
      </c>
      <c r="E285" s="36" t="str">
        <f t="shared" si="53"/>
        <v/>
      </c>
      <c r="F285" s="37" t="str">
        <f t="shared" si="54"/>
        <v/>
      </c>
      <c r="G285" s="38">
        <f t="shared" si="57"/>
        <v>0</v>
      </c>
      <c r="H285" s="38">
        <f t="shared" si="57"/>
        <v>0</v>
      </c>
      <c r="I285" s="39">
        <v>0</v>
      </c>
      <c r="J285" s="116">
        <f t="shared" si="64"/>
        <v>0</v>
      </c>
      <c r="K285" s="117">
        <v>0</v>
      </c>
      <c r="L285" s="118">
        <v>0.99399999999999999</v>
      </c>
      <c r="M285" s="39">
        <f t="shared" si="58"/>
        <v>0</v>
      </c>
      <c r="N285" s="116">
        <f t="shared" si="59"/>
        <v>0</v>
      </c>
      <c r="O285" s="43"/>
      <c r="P285" s="119"/>
      <c r="Q285" s="120"/>
      <c r="R285" s="121"/>
      <c r="S285" s="122"/>
      <c r="T285" s="34">
        <f t="shared" si="52"/>
        <v>0</v>
      </c>
      <c r="U285" s="34">
        <f t="shared" si="60"/>
        <v>0</v>
      </c>
      <c r="V285" s="34">
        <f t="shared" si="61"/>
        <v>0</v>
      </c>
      <c r="W285" s="34">
        <f t="shared" si="62"/>
        <v>0</v>
      </c>
      <c r="X285" s="48" t="s">
        <v>140</v>
      </c>
      <c r="Y285" s="48" t="s">
        <v>141</v>
      </c>
      <c r="Z285" s="49" t="s">
        <v>548</v>
      </c>
      <c r="AA285" s="49"/>
      <c r="AB285" s="33" t="s">
        <v>143</v>
      </c>
      <c r="AC285" s="33"/>
      <c r="AD285" s="50">
        <f t="shared" si="63"/>
        <v>0</v>
      </c>
      <c r="AE285" s="51">
        <f t="shared" si="55"/>
        <v>0</v>
      </c>
      <c r="AF285" s="51">
        <f t="shared" si="56"/>
        <v>0</v>
      </c>
      <c r="AG285" s="52">
        <v>1890</v>
      </c>
      <c r="AH285" s="52">
        <v>929</v>
      </c>
      <c r="AI285" s="52">
        <v>3</v>
      </c>
      <c r="AJ285" s="53" t="s">
        <v>705</v>
      </c>
    </row>
    <row r="286" spans="1:36" ht="15.75" hidden="1" x14ac:dyDescent="0.25">
      <c r="A286" s="33" t="s">
        <v>706</v>
      </c>
      <c r="B286" s="34">
        <v>923</v>
      </c>
      <c r="C286" s="34"/>
      <c r="D286" s="123">
        <v>31</v>
      </c>
      <c r="E286" s="36" t="str">
        <f t="shared" si="53"/>
        <v/>
      </c>
      <c r="F286" s="37" t="str">
        <f t="shared" si="54"/>
        <v/>
      </c>
      <c r="G286" s="38">
        <f t="shared" si="57"/>
        <v>0</v>
      </c>
      <c r="H286" s="38">
        <f t="shared" si="57"/>
        <v>0</v>
      </c>
      <c r="I286" s="39">
        <v>0</v>
      </c>
      <c r="J286" s="116">
        <f t="shared" si="64"/>
        <v>0</v>
      </c>
      <c r="K286" s="117">
        <v>0</v>
      </c>
      <c r="L286" s="118">
        <v>0.99399999999999999</v>
      </c>
      <c r="M286" s="39">
        <f t="shared" si="58"/>
        <v>0</v>
      </c>
      <c r="N286" s="116">
        <f t="shared" si="59"/>
        <v>0</v>
      </c>
      <c r="O286" s="43"/>
      <c r="P286" s="119"/>
      <c r="Q286" s="120"/>
      <c r="R286" s="121"/>
      <c r="S286" s="122"/>
      <c r="T286" s="34">
        <f t="shared" si="52"/>
        <v>0</v>
      </c>
      <c r="U286" s="34">
        <f t="shared" si="60"/>
        <v>0</v>
      </c>
      <c r="V286" s="34">
        <f t="shared" si="61"/>
        <v>0</v>
      </c>
      <c r="W286" s="34">
        <f t="shared" si="62"/>
        <v>0</v>
      </c>
      <c r="X286" s="48" t="s">
        <v>140</v>
      </c>
      <c r="Y286" s="48" t="s">
        <v>141</v>
      </c>
      <c r="Z286" s="49" t="s">
        <v>548</v>
      </c>
      <c r="AA286" s="49"/>
      <c r="AB286" s="33" t="s">
        <v>143</v>
      </c>
      <c r="AC286" s="33"/>
      <c r="AD286" s="50">
        <f t="shared" si="63"/>
        <v>0</v>
      </c>
      <c r="AE286" s="51">
        <f t="shared" si="55"/>
        <v>0</v>
      </c>
      <c r="AF286" s="51">
        <f t="shared" si="56"/>
        <v>0</v>
      </c>
      <c r="AG286" s="52">
        <v>1890</v>
      </c>
      <c r="AH286" s="52">
        <v>923</v>
      </c>
      <c r="AI286" s="52">
        <v>4</v>
      </c>
      <c r="AJ286" s="53" t="s">
        <v>707</v>
      </c>
    </row>
    <row r="287" spans="1:36" ht="15.75" hidden="1" x14ac:dyDescent="0.25">
      <c r="A287" s="33" t="s">
        <v>708</v>
      </c>
      <c r="B287" s="34">
        <v>924</v>
      </c>
      <c r="C287" s="34"/>
      <c r="D287" s="123">
        <v>27</v>
      </c>
      <c r="E287" s="36" t="str">
        <f t="shared" si="53"/>
        <v/>
      </c>
      <c r="F287" s="37" t="str">
        <f t="shared" si="54"/>
        <v/>
      </c>
      <c r="G287" s="38">
        <f t="shared" si="57"/>
        <v>0</v>
      </c>
      <c r="H287" s="38">
        <f t="shared" si="57"/>
        <v>0</v>
      </c>
      <c r="I287" s="39">
        <v>0</v>
      </c>
      <c r="J287" s="116">
        <f t="shared" si="64"/>
        <v>0</v>
      </c>
      <c r="K287" s="117">
        <v>0</v>
      </c>
      <c r="L287" s="118">
        <v>0.99399999999999999</v>
      </c>
      <c r="M287" s="39">
        <f t="shared" si="58"/>
        <v>0</v>
      </c>
      <c r="N287" s="116">
        <f t="shared" si="59"/>
        <v>0</v>
      </c>
      <c r="O287" s="43"/>
      <c r="P287" s="119"/>
      <c r="Q287" s="120"/>
      <c r="R287" s="121"/>
      <c r="S287" s="122"/>
      <c r="T287" s="34">
        <f t="shared" si="52"/>
        <v>0</v>
      </c>
      <c r="U287" s="34">
        <f t="shared" si="60"/>
        <v>0</v>
      </c>
      <c r="V287" s="34">
        <f t="shared" si="61"/>
        <v>0</v>
      </c>
      <c r="W287" s="34">
        <f t="shared" si="62"/>
        <v>0</v>
      </c>
      <c r="X287" s="48" t="s">
        <v>140</v>
      </c>
      <c r="Y287" s="48" t="s">
        <v>141</v>
      </c>
      <c r="Z287" s="49" t="s">
        <v>548</v>
      </c>
      <c r="AA287" s="49"/>
      <c r="AB287" s="33" t="s">
        <v>143</v>
      </c>
      <c r="AC287" s="33"/>
      <c r="AD287" s="50">
        <f t="shared" si="63"/>
        <v>0</v>
      </c>
      <c r="AE287" s="51">
        <f t="shared" si="55"/>
        <v>0</v>
      </c>
      <c r="AF287" s="51">
        <f t="shared" si="56"/>
        <v>0</v>
      </c>
      <c r="AG287" s="52">
        <v>1890</v>
      </c>
      <c r="AH287" s="52">
        <v>924</v>
      </c>
      <c r="AI287" s="52">
        <v>5</v>
      </c>
      <c r="AJ287" s="53" t="s">
        <v>709</v>
      </c>
    </row>
    <row r="288" spans="1:36" ht="15.75" hidden="1" x14ac:dyDescent="0.25">
      <c r="A288" s="33" t="s">
        <v>710</v>
      </c>
      <c r="B288" s="34">
        <v>45528</v>
      </c>
      <c r="C288" s="34"/>
      <c r="D288" s="35">
        <v>55</v>
      </c>
      <c r="E288" s="36" t="str">
        <f t="shared" si="53"/>
        <v/>
      </c>
      <c r="F288" s="37" t="str">
        <f t="shared" si="54"/>
        <v/>
      </c>
      <c r="G288" s="38">
        <f t="shared" si="57"/>
        <v>0</v>
      </c>
      <c r="H288" s="38">
        <f t="shared" si="57"/>
        <v>0</v>
      </c>
      <c r="I288" s="39">
        <v>0</v>
      </c>
      <c r="J288" s="116">
        <f t="shared" si="64"/>
        <v>0</v>
      </c>
      <c r="K288" s="117">
        <v>0</v>
      </c>
      <c r="L288" s="118">
        <v>1.01</v>
      </c>
      <c r="M288" s="39">
        <f t="shared" si="58"/>
        <v>0</v>
      </c>
      <c r="N288" s="116">
        <f t="shared" si="59"/>
        <v>0</v>
      </c>
      <c r="O288" s="43"/>
      <c r="P288" s="119"/>
      <c r="Q288" s="120"/>
      <c r="R288" s="121"/>
      <c r="S288" s="122"/>
      <c r="T288" s="34">
        <f t="shared" si="52"/>
        <v>0</v>
      </c>
      <c r="U288" s="34">
        <f t="shared" si="60"/>
        <v>0</v>
      </c>
      <c r="V288" s="34">
        <f t="shared" si="61"/>
        <v>0</v>
      </c>
      <c r="W288" s="34">
        <f t="shared" si="62"/>
        <v>0</v>
      </c>
      <c r="X288" s="48" t="s">
        <v>294</v>
      </c>
      <c r="Y288" s="48" t="s">
        <v>295</v>
      </c>
      <c r="Z288" s="49" t="s">
        <v>548</v>
      </c>
      <c r="AA288" s="49"/>
      <c r="AB288" s="33" t="s">
        <v>711</v>
      </c>
      <c r="AC288" s="33"/>
      <c r="AD288" s="50">
        <f t="shared" si="63"/>
        <v>0</v>
      </c>
      <c r="AE288" s="51">
        <f t="shared" si="55"/>
        <v>0</v>
      </c>
      <c r="AF288" s="51">
        <f t="shared" si="56"/>
        <v>0</v>
      </c>
      <c r="AG288" s="52">
        <v>5021</v>
      </c>
      <c r="AH288" s="52">
        <v>45528</v>
      </c>
      <c r="AI288" s="52">
        <v>1</v>
      </c>
      <c r="AJ288" s="53" t="s">
        <v>712</v>
      </c>
    </row>
    <row r="289" spans="1:36" ht="15.75" hidden="1" x14ac:dyDescent="0.25">
      <c r="A289" s="33" t="s">
        <v>713</v>
      </c>
      <c r="B289" s="34">
        <v>8421</v>
      </c>
      <c r="C289" s="34"/>
      <c r="D289" s="35">
        <v>46</v>
      </c>
      <c r="E289" s="36" t="str">
        <f t="shared" si="53"/>
        <v/>
      </c>
      <c r="F289" s="37" t="str">
        <f t="shared" si="54"/>
        <v/>
      </c>
      <c r="G289" s="38">
        <f t="shared" si="57"/>
        <v>0</v>
      </c>
      <c r="H289" s="38">
        <f t="shared" si="57"/>
        <v>0</v>
      </c>
      <c r="I289" s="39">
        <v>0</v>
      </c>
      <c r="J289" s="116">
        <f t="shared" si="64"/>
        <v>0</v>
      </c>
      <c r="K289" s="117">
        <v>0</v>
      </c>
      <c r="L289" s="118">
        <v>1.01</v>
      </c>
      <c r="M289" s="39">
        <f t="shared" si="58"/>
        <v>0</v>
      </c>
      <c r="N289" s="116">
        <f t="shared" si="59"/>
        <v>0</v>
      </c>
      <c r="O289" s="43"/>
      <c r="P289" s="119"/>
      <c r="Q289" s="120"/>
      <c r="R289" s="121"/>
      <c r="S289" s="122"/>
      <c r="T289" s="34">
        <f t="shared" si="52"/>
        <v>0</v>
      </c>
      <c r="U289" s="34">
        <f t="shared" si="60"/>
        <v>0</v>
      </c>
      <c r="V289" s="34">
        <f t="shared" si="61"/>
        <v>0</v>
      </c>
      <c r="W289" s="34">
        <f t="shared" si="62"/>
        <v>0</v>
      </c>
      <c r="X289" s="48" t="s">
        <v>294</v>
      </c>
      <c r="Y289" s="48" t="s">
        <v>295</v>
      </c>
      <c r="Z289" s="49" t="s">
        <v>548</v>
      </c>
      <c r="AA289" s="49"/>
      <c r="AB289" s="33" t="s">
        <v>711</v>
      </c>
      <c r="AC289" s="33"/>
      <c r="AD289" s="50">
        <f t="shared" si="63"/>
        <v>0</v>
      </c>
      <c r="AE289" s="51">
        <f t="shared" si="55"/>
        <v>0</v>
      </c>
      <c r="AF289" s="51">
        <f t="shared" si="56"/>
        <v>0</v>
      </c>
      <c r="AG289" s="52">
        <v>5021</v>
      </c>
      <c r="AH289" s="52">
        <v>8421</v>
      </c>
      <c r="AI289" s="52">
        <v>1</v>
      </c>
      <c r="AJ289" s="53" t="s">
        <v>714</v>
      </c>
    </row>
    <row r="290" spans="1:36" ht="15.75" hidden="1" x14ac:dyDescent="0.25">
      <c r="A290" s="33" t="s">
        <v>715</v>
      </c>
      <c r="B290" s="34">
        <v>6104</v>
      </c>
      <c r="C290" s="34"/>
      <c r="D290" s="35">
        <v>28</v>
      </c>
      <c r="E290" s="36" t="str">
        <f t="shared" si="53"/>
        <v/>
      </c>
      <c r="F290" s="37" t="str">
        <f t="shared" si="54"/>
        <v/>
      </c>
      <c r="G290" s="38">
        <f t="shared" si="57"/>
        <v>0</v>
      </c>
      <c r="H290" s="38">
        <f t="shared" si="57"/>
        <v>0</v>
      </c>
      <c r="I290" s="39">
        <v>0</v>
      </c>
      <c r="J290" s="116">
        <f t="shared" si="64"/>
        <v>0</v>
      </c>
      <c r="K290" s="117">
        <v>0</v>
      </c>
      <c r="L290" s="118">
        <v>1.01</v>
      </c>
      <c r="M290" s="39">
        <f t="shared" si="58"/>
        <v>0</v>
      </c>
      <c r="N290" s="116">
        <f t="shared" si="59"/>
        <v>0</v>
      </c>
      <c r="O290" s="43"/>
      <c r="P290" s="119"/>
      <c r="Q290" s="120"/>
      <c r="R290" s="121"/>
      <c r="S290" s="122"/>
      <c r="T290" s="34">
        <f t="shared" si="52"/>
        <v>0</v>
      </c>
      <c r="U290" s="34">
        <f t="shared" si="60"/>
        <v>0</v>
      </c>
      <c r="V290" s="34">
        <f t="shared" si="61"/>
        <v>0</v>
      </c>
      <c r="W290" s="34">
        <f t="shared" si="62"/>
        <v>0</v>
      </c>
      <c r="X290" s="48" t="s">
        <v>294</v>
      </c>
      <c r="Y290" s="48" t="s">
        <v>295</v>
      </c>
      <c r="Z290" s="49" t="s">
        <v>548</v>
      </c>
      <c r="AA290" s="49"/>
      <c r="AB290" s="33" t="s">
        <v>711</v>
      </c>
      <c r="AC290" s="33"/>
      <c r="AD290" s="50">
        <f t="shared" si="63"/>
        <v>0</v>
      </c>
      <c r="AE290" s="51">
        <f t="shared" si="55"/>
        <v>0</v>
      </c>
      <c r="AF290" s="51">
        <f t="shared" si="56"/>
        <v>0</v>
      </c>
      <c r="AG290" s="52">
        <v>5021</v>
      </c>
      <c r="AH290" s="52">
        <v>6104</v>
      </c>
      <c r="AI290" s="52">
        <v>1</v>
      </c>
      <c r="AJ290" s="53" t="s">
        <v>716</v>
      </c>
    </row>
    <row r="291" spans="1:36" ht="15.75" hidden="1" x14ac:dyDescent="0.25">
      <c r="A291" s="33" t="s">
        <v>717</v>
      </c>
      <c r="B291" s="34">
        <v>5700</v>
      </c>
      <c r="C291" s="34"/>
      <c r="D291" s="35">
        <v>999</v>
      </c>
      <c r="E291" s="36" t="str">
        <f t="shared" si="53"/>
        <v/>
      </c>
      <c r="F291" s="37" t="str">
        <f t="shared" si="54"/>
        <v/>
      </c>
      <c r="G291" s="38">
        <f t="shared" si="57"/>
        <v>0</v>
      </c>
      <c r="H291" s="38">
        <f t="shared" si="57"/>
        <v>0</v>
      </c>
      <c r="I291" s="39">
        <v>0</v>
      </c>
      <c r="J291" s="116">
        <f t="shared" si="64"/>
        <v>0</v>
      </c>
      <c r="K291" s="117">
        <v>0</v>
      </c>
      <c r="L291" s="118">
        <v>1.05</v>
      </c>
      <c r="M291" s="39">
        <f t="shared" si="58"/>
        <v>0</v>
      </c>
      <c r="N291" s="116">
        <f t="shared" si="59"/>
        <v>0</v>
      </c>
      <c r="O291" s="43"/>
      <c r="P291" s="119"/>
      <c r="Q291" s="120"/>
      <c r="R291" s="121"/>
      <c r="S291" s="122"/>
      <c r="T291" s="34">
        <f t="shared" si="52"/>
        <v>0</v>
      </c>
      <c r="U291" s="34">
        <f t="shared" si="60"/>
        <v>0</v>
      </c>
      <c r="V291" s="34">
        <f t="shared" si="61"/>
        <v>0</v>
      </c>
      <c r="W291" s="34">
        <f t="shared" si="62"/>
        <v>0</v>
      </c>
      <c r="X291" s="48" t="s">
        <v>718</v>
      </c>
      <c r="Y291" s="48" t="s">
        <v>295</v>
      </c>
      <c r="Z291" s="49" t="s">
        <v>548</v>
      </c>
      <c r="AA291" s="49"/>
      <c r="AB291" s="33" t="s">
        <v>719</v>
      </c>
      <c r="AC291" s="33"/>
      <c r="AD291" s="50">
        <f t="shared" si="63"/>
        <v>0</v>
      </c>
      <c r="AE291" s="51">
        <f t="shared" si="55"/>
        <v>0</v>
      </c>
      <c r="AF291" s="51">
        <f t="shared" si="56"/>
        <v>0</v>
      </c>
      <c r="AG291" s="52">
        <v>5725</v>
      </c>
      <c r="AH291" s="52">
        <v>5700</v>
      </c>
      <c r="AI291" s="52">
        <v>1</v>
      </c>
      <c r="AJ291" s="53" t="s">
        <v>720</v>
      </c>
    </row>
    <row r="292" spans="1:36" ht="15.75" hidden="1" x14ac:dyDescent="0.25">
      <c r="A292" s="33" t="s">
        <v>721</v>
      </c>
      <c r="B292" s="34">
        <v>5800</v>
      </c>
      <c r="C292" s="34"/>
      <c r="D292" s="35">
        <v>515</v>
      </c>
      <c r="E292" s="36" t="str">
        <f t="shared" si="53"/>
        <v/>
      </c>
      <c r="F292" s="37" t="str">
        <f t="shared" si="54"/>
        <v/>
      </c>
      <c r="G292" s="38">
        <f t="shared" si="57"/>
        <v>0</v>
      </c>
      <c r="H292" s="38">
        <f t="shared" si="57"/>
        <v>0</v>
      </c>
      <c r="I292" s="39">
        <v>0</v>
      </c>
      <c r="J292" s="116">
        <f t="shared" si="64"/>
        <v>0</v>
      </c>
      <c r="K292" s="117">
        <v>0</v>
      </c>
      <c r="L292" s="118">
        <v>1.05</v>
      </c>
      <c r="M292" s="39">
        <f t="shared" si="58"/>
        <v>0</v>
      </c>
      <c r="N292" s="116">
        <f t="shared" si="59"/>
        <v>0</v>
      </c>
      <c r="O292" s="43"/>
      <c r="P292" s="119"/>
      <c r="Q292" s="120"/>
      <c r="R292" s="121"/>
      <c r="S292" s="122"/>
      <c r="T292" s="34">
        <f t="shared" si="52"/>
        <v>0</v>
      </c>
      <c r="U292" s="34">
        <f t="shared" si="60"/>
        <v>0</v>
      </c>
      <c r="V292" s="34">
        <f t="shared" si="61"/>
        <v>0</v>
      </c>
      <c r="W292" s="34">
        <f t="shared" si="62"/>
        <v>0</v>
      </c>
      <c r="X292" s="48" t="s">
        <v>718</v>
      </c>
      <c r="Y292" s="48" t="s">
        <v>295</v>
      </c>
      <c r="Z292" s="49" t="s">
        <v>548</v>
      </c>
      <c r="AA292" s="49"/>
      <c r="AB292" s="33" t="s">
        <v>719</v>
      </c>
      <c r="AC292" s="33"/>
      <c r="AD292" s="50">
        <f t="shared" si="63"/>
        <v>0</v>
      </c>
      <c r="AE292" s="51">
        <f t="shared" si="55"/>
        <v>0</v>
      </c>
      <c r="AF292" s="51">
        <f t="shared" si="56"/>
        <v>0</v>
      </c>
      <c r="AG292" s="52">
        <v>5725</v>
      </c>
      <c r="AH292" s="52">
        <v>5800</v>
      </c>
      <c r="AI292" s="52">
        <v>1</v>
      </c>
      <c r="AJ292" s="53" t="s">
        <v>722</v>
      </c>
    </row>
    <row r="293" spans="1:36" ht="15.75" hidden="1" x14ac:dyDescent="0.25">
      <c r="A293" s="33" t="s">
        <v>723</v>
      </c>
      <c r="B293" s="34">
        <v>5151</v>
      </c>
      <c r="C293" s="34"/>
      <c r="D293" s="35">
        <v>342</v>
      </c>
      <c r="E293" s="36" t="str">
        <f t="shared" si="53"/>
        <v/>
      </c>
      <c r="F293" s="37" t="str">
        <f t="shared" si="54"/>
        <v/>
      </c>
      <c r="G293" s="38">
        <f t="shared" si="57"/>
        <v>0</v>
      </c>
      <c r="H293" s="38">
        <f t="shared" si="57"/>
        <v>0</v>
      </c>
      <c r="I293" s="39">
        <v>0</v>
      </c>
      <c r="J293" s="116">
        <f t="shared" si="64"/>
        <v>0</v>
      </c>
      <c r="K293" s="117">
        <v>0</v>
      </c>
      <c r="L293" s="118">
        <v>1</v>
      </c>
      <c r="M293" s="39">
        <f t="shared" si="58"/>
        <v>0</v>
      </c>
      <c r="N293" s="116">
        <f t="shared" si="59"/>
        <v>0</v>
      </c>
      <c r="O293" s="43"/>
      <c r="P293" s="119"/>
      <c r="Q293" s="120"/>
      <c r="R293" s="121"/>
      <c r="S293" s="122"/>
      <c r="T293" s="34">
        <f t="shared" si="52"/>
        <v>0</v>
      </c>
      <c r="U293" s="34">
        <f t="shared" si="60"/>
        <v>0</v>
      </c>
      <c r="V293" s="34">
        <f t="shared" si="61"/>
        <v>0</v>
      </c>
      <c r="W293" s="34">
        <f t="shared" si="62"/>
        <v>0</v>
      </c>
      <c r="X293" s="48" t="s">
        <v>314</v>
      </c>
      <c r="Y293" s="48" t="s">
        <v>295</v>
      </c>
      <c r="Z293" s="49" t="s">
        <v>548</v>
      </c>
      <c r="AA293" s="49"/>
      <c r="AB293" s="33" t="s">
        <v>724</v>
      </c>
      <c r="AC293" s="33"/>
      <c r="AD293" s="50">
        <f t="shared" si="63"/>
        <v>0</v>
      </c>
      <c r="AE293" s="51">
        <f t="shared" si="55"/>
        <v>0</v>
      </c>
      <c r="AF293" s="51">
        <f t="shared" si="56"/>
        <v>0</v>
      </c>
      <c r="AG293" s="52">
        <v>5150</v>
      </c>
      <c r="AH293" s="52">
        <v>5151</v>
      </c>
      <c r="AI293" s="52">
        <v>1</v>
      </c>
      <c r="AJ293" s="53" t="s">
        <v>725</v>
      </c>
    </row>
    <row r="294" spans="1:36" ht="15.75" hidden="1" x14ac:dyDescent="0.25">
      <c r="A294" s="33" t="s">
        <v>726</v>
      </c>
      <c r="B294" s="34">
        <v>5154</v>
      </c>
      <c r="C294" s="34"/>
      <c r="D294" s="35">
        <v>208</v>
      </c>
      <c r="E294" s="36" t="str">
        <f t="shared" si="53"/>
        <v/>
      </c>
      <c r="F294" s="37" t="str">
        <f t="shared" si="54"/>
        <v/>
      </c>
      <c r="G294" s="38">
        <f t="shared" si="57"/>
        <v>0</v>
      </c>
      <c r="H294" s="38">
        <f t="shared" si="57"/>
        <v>0</v>
      </c>
      <c r="I294" s="39">
        <v>0</v>
      </c>
      <c r="J294" s="116">
        <f t="shared" si="64"/>
        <v>0</v>
      </c>
      <c r="K294" s="117">
        <v>0</v>
      </c>
      <c r="L294" s="118">
        <v>1</v>
      </c>
      <c r="M294" s="39">
        <f t="shared" si="58"/>
        <v>0</v>
      </c>
      <c r="N294" s="116">
        <f t="shared" si="59"/>
        <v>0</v>
      </c>
      <c r="O294" s="43"/>
      <c r="P294" s="119"/>
      <c r="Q294" s="120"/>
      <c r="R294" s="121"/>
      <c r="S294" s="122"/>
      <c r="T294" s="34">
        <f t="shared" si="52"/>
        <v>0</v>
      </c>
      <c r="U294" s="34">
        <f t="shared" si="60"/>
        <v>0</v>
      </c>
      <c r="V294" s="34">
        <f t="shared" si="61"/>
        <v>0</v>
      </c>
      <c r="W294" s="34">
        <f t="shared" si="62"/>
        <v>0</v>
      </c>
      <c r="X294" s="48" t="s">
        <v>314</v>
      </c>
      <c r="Y294" s="48" t="s">
        <v>295</v>
      </c>
      <c r="Z294" s="49" t="s">
        <v>548</v>
      </c>
      <c r="AA294" s="49"/>
      <c r="AB294" s="33" t="s">
        <v>724</v>
      </c>
      <c r="AC294" s="33"/>
      <c r="AD294" s="50">
        <f t="shared" si="63"/>
        <v>0</v>
      </c>
      <c r="AE294" s="51">
        <f t="shared" si="55"/>
        <v>0</v>
      </c>
      <c r="AF294" s="51">
        <f t="shared" si="56"/>
        <v>0</v>
      </c>
      <c r="AG294" s="52">
        <v>5150</v>
      </c>
      <c r="AH294" s="52">
        <v>5154</v>
      </c>
      <c r="AI294" s="52">
        <v>1</v>
      </c>
      <c r="AJ294" s="53" t="s">
        <v>727</v>
      </c>
    </row>
    <row r="295" spans="1:36" ht="15.75" hidden="1" x14ac:dyDescent="0.25">
      <c r="A295" s="33" t="s">
        <v>728</v>
      </c>
      <c r="B295" s="34">
        <v>5658</v>
      </c>
      <c r="C295" s="34"/>
      <c r="D295" s="35">
        <v>720</v>
      </c>
      <c r="E295" s="36" t="str">
        <f t="shared" si="53"/>
        <v/>
      </c>
      <c r="F295" s="37" t="str">
        <f t="shared" si="54"/>
        <v/>
      </c>
      <c r="G295" s="38">
        <f t="shared" si="57"/>
        <v>0</v>
      </c>
      <c r="H295" s="38">
        <f t="shared" si="57"/>
        <v>0</v>
      </c>
      <c r="I295" s="39">
        <v>0</v>
      </c>
      <c r="J295" s="116">
        <f t="shared" si="64"/>
        <v>0</v>
      </c>
      <c r="K295" s="117">
        <v>0</v>
      </c>
      <c r="L295" s="118">
        <v>1</v>
      </c>
      <c r="M295" s="39">
        <f t="shared" si="58"/>
        <v>0</v>
      </c>
      <c r="N295" s="116">
        <f t="shared" si="59"/>
        <v>0</v>
      </c>
      <c r="O295" s="43"/>
      <c r="P295" s="119"/>
      <c r="Q295" s="120"/>
      <c r="R295" s="121"/>
      <c r="S295" s="122"/>
      <c r="T295" s="34">
        <f t="shared" si="52"/>
        <v>0</v>
      </c>
      <c r="U295" s="34">
        <f t="shared" si="60"/>
        <v>0</v>
      </c>
      <c r="V295" s="34">
        <f t="shared" si="61"/>
        <v>0</v>
      </c>
      <c r="W295" s="34">
        <f t="shared" si="62"/>
        <v>0</v>
      </c>
      <c r="X295" s="48" t="s">
        <v>729</v>
      </c>
      <c r="Y295" s="48" t="s">
        <v>295</v>
      </c>
      <c r="Z295" s="49" t="s">
        <v>673</v>
      </c>
      <c r="AA295" s="49"/>
      <c r="AB295" s="33" t="s">
        <v>730</v>
      </c>
      <c r="AC295" s="33"/>
      <c r="AD295" s="50">
        <f t="shared" si="63"/>
        <v>0</v>
      </c>
      <c r="AE295" s="51">
        <f t="shared" si="55"/>
        <v>0</v>
      </c>
      <c r="AF295" s="51">
        <f t="shared" si="56"/>
        <v>0</v>
      </c>
      <c r="AG295" s="52">
        <v>5658</v>
      </c>
      <c r="AH295" s="52">
        <v>5656</v>
      </c>
      <c r="AI295" s="52">
        <v>1</v>
      </c>
      <c r="AJ295" s="53" t="s">
        <v>731</v>
      </c>
    </row>
    <row r="296" spans="1:36" ht="15.75" hidden="1" x14ac:dyDescent="0.25">
      <c r="A296" s="33" t="s">
        <v>732</v>
      </c>
      <c r="B296" s="34">
        <v>5659</v>
      </c>
      <c r="C296" s="34"/>
      <c r="D296" s="35">
        <v>360</v>
      </c>
      <c r="E296" s="36" t="str">
        <f t="shared" si="53"/>
        <v/>
      </c>
      <c r="F296" s="37" t="str">
        <f t="shared" si="54"/>
        <v/>
      </c>
      <c r="G296" s="38">
        <f t="shared" si="57"/>
        <v>0</v>
      </c>
      <c r="H296" s="38">
        <f t="shared" si="57"/>
        <v>0</v>
      </c>
      <c r="I296" s="39">
        <v>0</v>
      </c>
      <c r="J296" s="116">
        <f t="shared" si="64"/>
        <v>0</v>
      </c>
      <c r="K296" s="117">
        <v>0</v>
      </c>
      <c r="L296" s="118">
        <v>1</v>
      </c>
      <c r="M296" s="39">
        <f t="shared" si="58"/>
        <v>0</v>
      </c>
      <c r="N296" s="116">
        <f t="shared" si="59"/>
        <v>0</v>
      </c>
      <c r="O296" s="43"/>
      <c r="P296" s="119"/>
      <c r="Q296" s="120"/>
      <c r="R296" s="121"/>
      <c r="S296" s="122"/>
      <c r="T296" s="34">
        <f t="shared" si="52"/>
        <v>0</v>
      </c>
      <c r="U296" s="34">
        <f t="shared" si="60"/>
        <v>0</v>
      </c>
      <c r="V296" s="34">
        <f t="shared" si="61"/>
        <v>0</v>
      </c>
      <c r="W296" s="34">
        <f t="shared" si="62"/>
        <v>0</v>
      </c>
      <c r="X296" s="48" t="s">
        <v>729</v>
      </c>
      <c r="Y296" s="48" t="s">
        <v>295</v>
      </c>
      <c r="Z296" s="49" t="s">
        <v>673</v>
      </c>
      <c r="AA296" s="49"/>
      <c r="AB296" s="33" t="s">
        <v>730</v>
      </c>
      <c r="AC296" s="33"/>
      <c r="AD296" s="50">
        <f t="shared" si="63"/>
        <v>0</v>
      </c>
      <c r="AE296" s="51">
        <f t="shared" si="55"/>
        <v>0</v>
      </c>
      <c r="AF296" s="51">
        <f t="shared" si="56"/>
        <v>0</v>
      </c>
      <c r="AG296" s="52">
        <v>5656</v>
      </c>
      <c r="AH296" s="52">
        <v>5659</v>
      </c>
      <c r="AI296" s="52">
        <v>1</v>
      </c>
      <c r="AJ296" s="53" t="s">
        <v>733</v>
      </c>
    </row>
    <row r="297" spans="1:36" ht="15.75" hidden="1" x14ac:dyDescent="0.25">
      <c r="A297" s="33" t="s">
        <v>734</v>
      </c>
      <c r="B297" s="34">
        <v>5827</v>
      </c>
      <c r="C297" s="34"/>
      <c r="D297" s="35">
        <v>197</v>
      </c>
      <c r="E297" s="36" t="str">
        <f t="shared" si="53"/>
        <v/>
      </c>
      <c r="F297" s="37" t="str">
        <f t="shared" si="54"/>
        <v/>
      </c>
      <c r="G297" s="38">
        <f t="shared" si="57"/>
        <v>0</v>
      </c>
      <c r="H297" s="38">
        <f t="shared" si="57"/>
        <v>0</v>
      </c>
      <c r="I297" s="39">
        <v>0</v>
      </c>
      <c r="J297" s="116">
        <f t="shared" si="64"/>
        <v>0</v>
      </c>
      <c r="K297" s="117">
        <v>0</v>
      </c>
      <c r="L297" s="118">
        <v>1</v>
      </c>
      <c r="M297" s="39">
        <f t="shared" si="58"/>
        <v>0</v>
      </c>
      <c r="N297" s="116">
        <f t="shared" si="59"/>
        <v>0</v>
      </c>
      <c r="O297" s="43"/>
      <c r="P297" s="119"/>
      <c r="Q297" s="120"/>
      <c r="R297" s="121"/>
      <c r="S297" s="122"/>
      <c r="T297" s="34">
        <f t="shared" si="52"/>
        <v>0</v>
      </c>
      <c r="U297" s="34">
        <f t="shared" si="60"/>
        <v>0</v>
      </c>
      <c r="V297" s="34">
        <f t="shared" si="61"/>
        <v>0</v>
      </c>
      <c r="W297" s="34">
        <f t="shared" si="62"/>
        <v>0</v>
      </c>
      <c r="X297" s="48" t="s">
        <v>294</v>
      </c>
      <c r="Y297" s="48" t="s">
        <v>295</v>
      </c>
      <c r="Z297" s="49" t="s">
        <v>548</v>
      </c>
      <c r="AA297" s="49"/>
      <c r="AB297" s="33" t="s">
        <v>711</v>
      </c>
      <c r="AC297" s="33"/>
      <c r="AD297" s="50">
        <f t="shared" si="63"/>
        <v>0</v>
      </c>
      <c r="AE297" s="51">
        <f t="shared" si="55"/>
        <v>0</v>
      </c>
      <c r="AF297" s="51">
        <f t="shared" si="56"/>
        <v>0</v>
      </c>
      <c r="AG297" s="52">
        <v>5821</v>
      </c>
      <c r="AH297" s="52">
        <v>5827</v>
      </c>
      <c r="AI297" s="52">
        <v>1</v>
      </c>
      <c r="AJ297" s="53" t="s">
        <v>735</v>
      </c>
    </row>
    <row r="298" spans="1:36" ht="15.75" hidden="1" x14ac:dyDescent="0.25">
      <c r="A298" s="33" t="s">
        <v>736</v>
      </c>
      <c r="B298" s="34">
        <v>5466</v>
      </c>
      <c r="C298" s="34"/>
      <c r="D298" s="35">
        <v>324</v>
      </c>
      <c r="E298" s="36" t="str">
        <f t="shared" si="53"/>
        <v/>
      </c>
      <c r="F298" s="37" t="str">
        <f t="shared" si="54"/>
        <v/>
      </c>
      <c r="G298" s="38">
        <f t="shared" si="57"/>
        <v>0</v>
      </c>
      <c r="H298" s="38">
        <f t="shared" si="57"/>
        <v>0</v>
      </c>
      <c r="I298" s="39">
        <v>0</v>
      </c>
      <c r="J298" s="116">
        <f t="shared" si="64"/>
        <v>0</v>
      </c>
      <c r="K298" s="117">
        <v>0</v>
      </c>
      <c r="L298" s="118">
        <v>1</v>
      </c>
      <c r="M298" s="39">
        <f t="shared" si="58"/>
        <v>0</v>
      </c>
      <c r="N298" s="116">
        <f t="shared" si="59"/>
        <v>0</v>
      </c>
      <c r="O298" s="43"/>
      <c r="P298" s="119"/>
      <c r="Q298" s="120"/>
      <c r="R298" s="121"/>
      <c r="S298" s="122"/>
      <c r="T298" s="34">
        <f t="shared" si="52"/>
        <v>0</v>
      </c>
      <c r="U298" s="34">
        <f t="shared" si="60"/>
        <v>0</v>
      </c>
      <c r="V298" s="34">
        <f t="shared" si="61"/>
        <v>0</v>
      </c>
      <c r="W298" s="34">
        <f t="shared" si="62"/>
        <v>0</v>
      </c>
      <c r="X298" s="48" t="s">
        <v>737</v>
      </c>
      <c r="Y298" s="48" t="s">
        <v>295</v>
      </c>
      <c r="Z298" s="49" t="s">
        <v>548</v>
      </c>
      <c r="AA298" s="49"/>
      <c r="AB298" s="33" t="s">
        <v>738</v>
      </c>
      <c r="AC298" s="33"/>
      <c r="AD298" s="50">
        <f t="shared" si="63"/>
        <v>0</v>
      </c>
      <c r="AE298" s="51">
        <f t="shared" si="55"/>
        <v>0</v>
      </c>
      <c r="AF298" s="51">
        <f t="shared" si="56"/>
        <v>0</v>
      </c>
      <c r="AG298" s="52">
        <v>5462</v>
      </c>
      <c r="AH298" s="52">
        <v>5466</v>
      </c>
      <c r="AI298" s="52">
        <v>1</v>
      </c>
      <c r="AJ298" s="53" t="s">
        <v>739</v>
      </c>
    </row>
    <row r="299" spans="1:36" ht="15.75" hidden="1" x14ac:dyDescent="0.25">
      <c r="A299" s="58" t="s">
        <v>740</v>
      </c>
      <c r="B299" s="59">
        <v>44929</v>
      </c>
      <c r="C299" s="59"/>
      <c r="D299" s="60" t="s">
        <v>741</v>
      </c>
      <c r="E299" s="36" t="str">
        <f t="shared" si="53"/>
        <v/>
      </c>
      <c r="F299" s="37" t="str">
        <f t="shared" si="54"/>
        <v/>
      </c>
      <c r="G299" s="38">
        <f t="shared" si="57"/>
        <v>0</v>
      </c>
      <c r="H299" s="38">
        <f t="shared" si="57"/>
        <v>0</v>
      </c>
      <c r="I299" s="39"/>
      <c r="J299" s="116" t="str">
        <f t="shared" si="64"/>
        <v>-</v>
      </c>
      <c r="K299" s="117"/>
      <c r="L299" s="118"/>
      <c r="M299" s="39">
        <f t="shared" si="58"/>
        <v>0</v>
      </c>
      <c r="N299" s="116">
        <f t="shared" si="59"/>
        <v>0</v>
      </c>
      <c r="O299" s="43"/>
      <c r="P299" s="119"/>
      <c r="Q299" s="120"/>
      <c r="R299" s="121"/>
      <c r="S299" s="122"/>
      <c r="T299" s="34">
        <f t="shared" si="52"/>
        <v>0</v>
      </c>
      <c r="U299" s="34">
        <f t="shared" si="60"/>
        <v>0</v>
      </c>
      <c r="V299" s="34">
        <f t="shared" si="61"/>
        <v>0</v>
      </c>
      <c r="W299" s="34">
        <f t="shared" si="62"/>
        <v>0</v>
      </c>
      <c r="X299" s="48" t="s">
        <v>729</v>
      </c>
      <c r="Y299" s="48" t="s">
        <v>295</v>
      </c>
      <c r="Z299" s="49" t="s">
        <v>548</v>
      </c>
      <c r="AA299" s="49"/>
      <c r="AB299" s="33" t="s">
        <v>730</v>
      </c>
      <c r="AC299" s="33"/>
      <c r="AD299" s="50">
        <f t="shared" si="63"/>
        <v>0</v>
      </c>
      <c r="AE299" s="51">
        <f t="shared" si="55"/>
        <v>0</v>
      </c>
      <c r="AF299" s="51">
        <f t="shared" si="56"/>
        <v>0</v>
      </c>
      <c r="AG299" s="52" t="s">
        <v>134</v>
      </c>
      <c r="AH299" s="52" t="s">
        <v>134</v>
      </c>
      <c r="AI299" s="52" t="s">
        <v>134</v>
      </c>
      <c r="AJ299" s="53" t="s">
        <v>134</v>
      </c>
    </row>
    <row r="300" spans="1:36" ht="15.75" hidden="1" x14ac:dyDescent="0.25">
      <c r="A300" s="33" t="s">
        <v>742</v>
      </c>
      <c r="B300" s="34">
        <v>5660</v>
      </c>
      <c r="C300" s="34"/>
      <c r="D300" s="35">
        <v>220</v>
      </c>
      <c r="E300" s="36" t="str">
        <f t="shared" si="53"/>
        <v/>
      </c>
      <c r="F300" s="37" t="str">
        <f t="shared" si="54"/>
        <v/>
      </c>
      <c r="G300" s="38">
        <f t="shared" si="57"/>
        <v>0</v>
      </c>
      <c r="H300" s="38">
        <f t="shared" si="57"/>
        <v>0</v>
      </c>
      <c r="I300" s="39">
        <v>0</v>
      </c>
      <c r="J300" s="116">
        <f t="shared" si="64"/>
        <v>0</v>
      </c>
      <c r="K300" s="117">
        <v>0</v>
      </c>
      <c r="L300" s="118">
        <v>1</v>
      </c>
      <c r="M300" s="39">
        <f t="shared" si="58"/>
        <v>0</v>
      </c>
      <c r="N300" s="116">
        <f t="shared" si="59"/>
        <v>0</v>
      </c>
      <c r="O300" s="43"/>
      <c r="P300" s="119"/>
      <c r="Q300" s="120"/>
      <c r="R300" s="121"/>
      <c r="S300" s="122"/>
      <c r="T300" s="34">
        <f t="shared" si="52"/>
        <v>0</v>
      </c>
      <c r="U300" s="34">
        <f t="shared" si="60"/>
        <v>0</v>
      </c>
      <c r="V300" s="34">
        <f t="shared" si="61"/>
        <v>0</v>
      </c>
      <c r="W300" s="34">
        <f t="shared" si="62"/>
        <v>0</v>
      </c>
      <c r="X300" s="48" t="s">
        <v>729</v>
      </c>
      <c r="Y300" s="48" t="s">
        <v>295</v>
      </c>
      <c r="Z300" s="49" t="s">
        <v>548</v>
      </c>
      <c r="AA300" s="49"/>
      <c r="AB300" s="33" t="s">
        <v>730</v>
      </c>
      <c r="AC300" s="33"/>
      <c r="AD300" s="50">
        <f t="shared" si="63"/>
        <v>0</v>
      </c>
      <c r="AE300" s="51">
        <f t="shared" si="55"/>
        <v>0</v>
      </c>
      <c r="AF300" s="51">
        <f t="shared" si="56"/>
        <v>0</v>
      </c>
      <c r="AG300" s="52">
        <v>5651</v>
      </c>
      <c r="AH300" s="52">
        <v>5660</v>
      </c>
      <c r="AI300" s="52">
        <v>1</v>
      </c>
      <c r="AJ300" s="53" t="s">
        <v>743</v>
      </c>
    </row>
    <row r="301" spans="1:36" ht="15.75" hidden="1" x14ac:dyDescent="0.25">
      <c r="A301" s="33" t="s">
        <v>744</v>
      </c>
      <c r="B301" s="34">
        <v>5178</v>
      </c>
      <c r="C301" s="34"/>
      <c r="D301" s="35">
        <v>200</v>
      </c>
      <c r="E301" s="36" t="str">
        <f t="shared" si="53"/>
        <v/>
      </c>
      <c r="F301" s="37" t="str">
        <f t="shared" si="54"/>
        <v/>
      </c>
      <c r="G301" s="38">
        <f t="shared" si="57"/>
        <v>0</v>
      </c>
      <c r="H301" s="38">
        <f t="shared" si="57"/>
        <v>0</v>
      </c>
      <c r="I301" s="39">
        <v>0</v>
      </c>
      <c r="J301" s="116">
        <f t="shared" si="64"/>
        <v>0</v>
      </c>
      <c r="K301" s="117">
        <v>0</v>
      </c>
      <c r="L301" s="118">
        <v>1.01</v>
      </c>
      <c r="M301" s="39">
        <f t="shared" si="58"/>
        <v>0</v>
      </c>
      <c r="N301" s="116">
        <f t="shared" si="59"/>
        <v>0</v>
      </c>
      <c r="O301" s="43"/>
      <c r="P301" s="119"/>
      <c r="Q301" s="120"/>
      <c r="R301" s="121"/>
      <c r="S301" s="122"/>
      <c r="T301" s="34">
        <f t="shared" si="52"/>
        <v>0</v>
      </c>
      <c r="U301" s="34">
        <f t="shared" si="60"/>
        <v>0</v>
      </c>
      <c r="V301" s="34">
        <f t="shared" si="61"/>
        <v>0</v>
      </c>
      <c r="W301" s="34">
        <f t="shared" si="62"/>
        <v>0</v>
      </c>
      <c r="X301" s="48" t="s">
        <v>314</v>
      </c>
      <c r="Y301" s="48" t="s">
        <v>295</v>
      </c>
      <c r="Z301" s="49" t="s">
        <v>647</v>
      </c>
      <c r="AA301" s="49"/>
      <c r="AB301" s="33" t="s">
        <v>724</v>
      </c>
      <c r="AC301" s="33"/>
      <c r="AD301" s="50">
        <f t="shared" si="63"/>
        <v>0</v>
      </c>
      <c r="AE301" s="51">
        <f t="shared" si="55"/>
        <v>0</v>
      </c>
      <c r="AF301" s="51">
        <f t="shared" si="56"/>
        <v>0</v>
      </c>
      <c r="AG301" s="52">
        <v>5184</v>
      </c>
      <c r="AH301" s="52">
        <v>5178</v>
      </c>
      <c r="AI301" s="52">
        <v>1</v>
      </c>
      <c r="AJ301" s="53" t="s">
        <v>745</v>
      </c>
    </row>
    <row r="302" spans="1:36" ht="15.75" hidden="1" x14ac:dyDescent="0.25">
      <c r="A302" s="33" t="s">
        <v>746</v>
      </c>
      <c r="B302" s="34">
        <v>5460</v>
      </c>
      <c r="C302" s="34"/>
      <c r="D302" s="35">
        <v>162</v>
      </c>
      <c r="E302" s="36" t="str">
        <f t="shared" si="53"/>
        <v/>
      </c>
      <c r="F302" s="37" t="str">
        <f t="shared" si="54"/>
        <v/>
      </c>
      <c r="G302" s="38">
        <f t="shared" si="57"/>
        <v>0</v>
      </c>
      <c r="H302" s="38">
        <f t="shared" si="57"/>
        <v>0</v>
      </c>
      <c r="I302" s="39">
        <v>0</v>
      </c>
      <c r="J302" s="116">
        <f t="shared" si="64"/>
        <v>0</v>
      </c>
      <c r="K302" s="117">
        <v>0</v>
      </c>
      <c r="L302" s="118">
        <v>1.02</v>
      </c>
      <c r="M302" s="39">
        <f t="shared" si="58"/>
        <v>0</v>
      </c>
      <c r="N302" s="116">
        <f t="shared" si="59"/>
        <v>0</v>
      </c>
      <c r="O302" s="43"/>
      <c r="P302" s="119"/>
      <c r="Q302" s="120"/>
      <c r="R302" s="121"/>
      <c r="S302" s="122"/>
      <c r="T302" s="34">
        <f t="shared" si="52"/>
        <v>0</v>
      </c>
      <c r="U302" s="34">
        <f t="shared" si="60"/>
        <v>0</v>
      </c>
      <c r="V302" s="34">
        <f t="shared" si="61"/>
        <v>0</v>
      </c>
      <c r="W302" s="34">
        <f t="shared" si="62"/>
        <v>0</v>
      </c>
      <c r="X302" s="48" t="s">
        <v>729</v>
      </c>
      <c r="Y302" s="48" t="s">
        <v>295</v>
      </c>
      <c r="Z302" s="49" t="s">
        <v>647</v>
      </c>
      <c r="AA302" s="49"/>
      <c r="AB302" s="33" t="s">
        <v>730</v>
      </c>
      <c r="AC302" s="33"/>
      <c r="AD302" s="50">
        <f t="shared" si="63"/>
        <v>0</v>
      </c>
      <c r="AE302" s="51">
        <f t="shared" si="55"/>
        <v>0</v>
      </c>
      <c r="AF302" s="51">
        <f t="shared" si="56"/>
        <v>0</v>
      </c>
      <c r="AG302" s="52">
        <v>5453</v>
      </c>
      <c r="AH302" s="52">
        <v>5460</v>
      </c>
      <c r="AI302" s="52">
        <v>1</v>
      </c>
      <c r="AJ302" s="53" t="s">
        <v>747</v>
      </c>
    </row>
    <row r="303" spans="1:36" ht="15.75" hidden="1" x14ac:dyDescent="0.25">
      <c r="A303" s="33" t="s">
        <v>748</v>
      </c>
      <c r="B303" s="34">
        <v>5134</v>
      </c>
      <c r="C303" s="34"/>
      <c r="D303" s="35">
        <v>48</v>
      </c>
      <c r="E303" s="36" t="str">
        <f t="shared" si="53"/>
        <v/>
      </c>
      <c r="F303" s="37" t="str">
        <f t="shared" si="54"/>
        <v/>
      </c>
      <c r="G303" s="38">
        <f t="shared" si="57"/>
        <v>0</v>
      </c>
      <c r="H303" s="38">
        <f t="shared" si="57"/>
        <v>0</v>
      </c>
      <c r="I303" s="39">
        <v>0</v>
      </c>
      <c r="J303" s="116">
        <f t="shared" si="64"/>
        <v>0</v>
      </c>
      <c r="K303" s="117">
        <v>0</v>
      </c>
      <c r="L303" s="118">
        <v>1.01</v>
      </c>
      <c r="M303" s="39">
        <f t="shared" si="58"/>
        <v>0</v>
      </c>
      <c r="N303" s="116">
        <f t="shared" si="59"/>
        <v>0</v>
      </c>
      <c r="O303" s="43"/>
      <c r="P303" s="119"/>
      <c r="Q303" s="120"/>
      <c r="R303" s="121"/>
      <c r="S303" s="122"/>
      <c r="T303" s="34">
        <f t="shared" si="52"/>
        <v>0</v>
      </c>
      <c r="U303" s="34">
        <f t="shared" si="60"/>
        <v>0</v>
      </c>
      <c r="V303" s="34">
        <f t="shared" si="61"/>
        <v>0</v>
      </c>
      <c r="W303" s="34">
        <f t="shared" si="62"/>
        <v>0</v>
      </c>
      <c r="X303" s="48" t="s">
        <v>314</v>
      </c>
      <c r="Y303" s="48" t="s">
        <v>295</v>
      </c>
      <c r="Z303" s="49" t="s">
        <v>647</v>
      </c>
      <c r="AA303" s="49"/>
      <c r="AB303" s="33" t="s">
        <v>724</v>
      </c>
      <c r="AC303" s="33"/>
      <c r="AD303" s="50">
        <f t="shared" si="63"/>
        <v>0</v>
      </c>
      <c r="AE303" s="51">
        <f t="shared" si="55"/>
        <v>0</v>
      </c>
      <c r="AF303" s="51">
        <f t="shared" si="56"/>
        <v>0</v>
      </c>
      <c r="AG303" s="52">
        <v>5133</v>
      </c>
      <c r="AH303" s="52">
        <v>5134</v>
      </c>
      <c r="AI303" s="52">
        <v>1</v>
      </c>
      <c r="AJ303" s="53" t="s">
        <v>749</v>
      </c>
    </row>
    <row r="304" spans="1:36" ht="15.75" hidden="1" x14ac:dyDescent="0.25">
      <c r="A304" s="33" t="s">
        <v>750</v>
      </c>
      <c r="B304" s="34">
        <v>5219</v>
      </c>
      <c r="C304" s="34"/>
      <c r="D304" s="35">
        <v>170</v>
      </c>
      <c r="E304" s="36" t="str">
        <f t="shared" si="53"/>
        <v/>
      </c>
      <c r="F304" s="37" t="str">
        <f t="shared" si="54"/>
        <v/>
      </c>
      <c r="G304" s="38">
        <f t="shared" si="57"/>
        <v>0</v>
      </c>
      <c r="H304" s="38">
        <f t="shared" si="57"/>
        <v>0</v>
      </c>
      <c r="I304" s="39">
        <v>0</v>
      </c>
      <c r="J304" s="116">
        <f t="shared" si="64"/>
        <v>0</v>
      </c>
      <c r="K304" s="117">
        <v>0</v>
      </c>
      <c r="L304" s="118">
        <v>0.999</v>
      </c>
      <c r="M304" s="39">
        <f t="shared" si="58"/>
        <v>0</v>
      </c>
      <c r="N304" s="116">
        <f t="shared" si="59"/>
        <v>0</v>
      </c>
      <c r="O304" s="43"/>
      <c r="P304" s="119"/>
      <c r="Q304" s="120"/>
      <c r="R304" s="121"/>
      <c r="S304" s="122"/>
      <c r="T304" s="34">
        <f t="shared" si="52"/>
        <v>0</v>
      </c>
      <c r="U304" s="34">
        <f t="shared" si="60"/>
        <v>0</v>
      </c>
      <c r="V304" s="34">
        <f t="shared" si="61"/>
        <v>0</v>
      </c>
      <c r="W304" s="34">
        <f t="shared" si="62"/>
        <v>0</v>
      </c>
      <c r="X304" s="48" t="s">
        <v>751</v>
      </c>
      <c r="Y304" s="48" t="s">
        <v>295</v>
      </c>
      <c r="Z304" s="49" t="s">
        <v>647</v>
      </c>
      <c r="AA304" s="49"/>
      <c r="AB304" s="33" t="s">
        <v>752</v>
      </c>
      <c r="AC304" s="33"/>
      <c r="AD304" s="50">
        <f t="shared" si="63"/>
        <v>0</v>
      </c>
      <c r="AE304" s="51">
        <f t="shared" si="55"/>
        <v>0</v>
      </c>
      <c r="AF304" s="51">
        <f t="shared" si="56"/>
        <v>0</v>
      </c>
      <c r="AG304" s="52">
        <v>5219</v>
      </c>
      <c r="AH304" s="52">
        <v>44109</v>
      </c>
      <c r="AI304" s="52">
        <v>1</v>
      </c>
      <c r="AJ304" s="53" t="s">
        <v>753</v>
      </c>
    </row>
    <row r="305" spans="1:36" ht="15.75" hidden="1" x14ac:dyDescent="0.25">
      <c r="A305" s="33" t="s">
        <v>754</v>
      </c>
      <c r="B305" s="34">
        <v>5218</v>
      </c>
      <c r="C305" s="34"/>
      <c r="D305" s="35">
        <v>170</v>
      </c>
      <c r="E305" s="36" t="str">
        <f t="shared" si="53"/>
        <v/>
      </c>
      <c r="F305" s="37" t="str">
        <f t="shared" si="54"/>
        <v/>
      </c>
      <c r="G305" s="38">
        <f t="shared" si="57"/>
        <v>0</v>
      </c>
      <c r="H305" s="38">
        <f t="shared" si="57"/>
        <v>0</v>
      </c>
      <c r="I305" s="39">
        <v>0</v>
      </c>
      <c r="J305" s="116">
        <f t="shared" si="64"/>
        <v>0</v>
      </c>
      <c r="K305" s="117">
        <v>0</v>
      </c>
      <c r="L305" s="118">
        <v>0.999</v>
      </c>
      <c r="M305" s="39">
        <f t="shared" si="58"/>
        <v>0</v>
      </c>
      <c r="N305" s="116">
        <f t="shared" si="59"/>
        <v>0</v>
      </c>
      <c r="O305" s="43"/>
      <c r="P305" s="119"/>
      <c r="Q305" s="120"/>
      <c r="R305" s="121"/>
      <c r="S305" s="122"/>
      <c r="T305" s="34">
        <f t="shared" si="52"/>
        <v>0</v>
      </c>
      <c r="U305" s="34">
        <f t="shared" si="60"/>
        <v>0</v>
      </c>
      <c r="V305" s="34">
        <f t="shared" si="61"/>
        <v>0</v>
      </c>
      <c r="W305" s="34">
        <f t="shared" si="62"/>
        <v>0</v>
      </c>
      <c r="X305" s="48" t="s">
        <v>751</v>
      </c>
      <c r="Y305" s="48" t="s">
        <v>295</v>
      </c>
      <c r="Z305" s="49" t="s">
        <v>647</v>
      </c>
      <c r="AA305" s="49"/>
      <c r="AB305" s="33" t="s">
        <v>752</v>
      </c>
      <c r="AC305" s="33"/>
      <c r="AD305" s="50">
        <f t="shared" si="63"/>
        <v>0</v>
      </c>
      <c r="AE305" s="51">
        <f t="shared" si="55"/>
        <v>0</v>
      </c>
      <c r="AF305" s="51">
        <f t="shared" si="56"/>
        <v>0</v>
      </c>
      <c r="AG305" s="52">
        <v>5218</v>
      </c>
      <c r="AH305" s="52">
        <v>44108</v>
      </c>
      <c r="AI305" s="52">
        <v>1</v>
      </c>
      <c r="AJ305" s="53" t="s">
        <v>755</v>
      </c>
    </row>
    <row r="306" spans="1:36" ht="15.75" hidden="1" x14ac:dyDescent="0.25">
      <c r="A306" s="33" t="s">
        <v>756</v>
      </c>
      <c r="B306" s="34">
        <v>5220</v>
      </c>
      <c r="C306" s="34"/>
      <c r="D306" s="35">
        <v>169</v>
      </c>
      <c r="E306" s="36" t="str">
        <f t="shared" si="53"/>
        <v/>
      </c>
      <c r="F306" s="37" t="str">
        <f t="shared" si="54"/>
        <v/>
      </c>
      <c r="G306" s="38">
        <f t="shared" si="57"/>
        <v>0</v>
      </c>
      <c r="H306" s="38">
        <f t="shared" si="57"/>
        <v>0</v>
      </c>
      <c r="I306" s="39">
        <v>0</v>
      </c>
      <c r="J306" s="116">
        <f t="shared" si="64"/>
        <v>0</v>
      </c>
      <c r="K306" s="117">
        <v>0</v>
      </c>
      <c r="L306" s="118">
        <v>1</v>
      </c>
      <c r="M306" s="39">
        <f t="shared" si="58"/>
        <v>0</v>
      </c>
      <c r="N306" s="116">
        <f t="shared" si="59"/>
        <v>0</v>
      </c>
      <c r="O306" s="43"/>
      <c r="P306" s="119"/>
      <c r="Q306" s="120"/>
      <c r="R306" s="121"/>
      <c r="S306" s="122"/>
      <c r="T306" s="34">
        <f t="shared" si="52"/>
        <v>0</v>
      </c>
      <c r="U306" s="34">
        <f t="shared" si="60"/>
        <v>0</v>
      </c>
      <c r="V306" s="34">
        <f t="shared" si="61"/>
        <v>0</v>
      </c>
      <c r="W306" s="34">
        <f t="shared" si="62"/>
        <v>0</v>
      </c>
      <c r="X306" s="48" t="s">
        <v>751</v>
      </c>
      <c r="Y306" s="48" t="s">
        <v>295</v>
      </c>
      <c r="Z306" s="49" t="s">
        <v>647</v>
      </c>
      <c r="AA306" s="49"/>
      <c r="AB306" s="33" t="s">
        <v>752</v>
      </c>
      <c r="AC306" s="33"/>
      <c r="AD306" s="50">
        <f t="shared" si="63"/>
        <v>0</v>
      </c>
      <c r="AE306" s="51">
        <f t="shared" si="55"/>
        <v>0</v>
      </c>
      <c r="AF306" s="51">
        <f t="shared" si="56"/>
        <v>0</v>
      </c>
      <c r="AG306" s="52">
        <v>5220</v>
      </c>
      <c r="AH306" s="52">
        <v>44110</v>
      </c>
      <c r="AI306" s="52">
        <v>1</v>
      </c>
      <c r="AJ306" s="53" t="s">
        <v>757</v>
      </c>
    </row>
    <row r="307" spans="1:36" ht="15.75" hidden="1" x14ac:dyDescent="0.25">
      <c r="A307" s="33" t="s">
        <v>758</v>
      </c>
      <c r="B307" s="34">
        <v>6021</v>
      </c>
      <c r="C307" s="34"/>
      <c r="D307" s="35">
        <v>67</v>
      </c>
      <c r="E307" s="36" t="str">
        <f t="shared" si="53"/>
        <v/>
      </c>
      <c r="F307" s="37" t="str">
        <f t="shared" si="54"/>
        <v/>
      </c>
      <c r="G307" s="38">
        <f t="shared" si="57"/>
        <v>0</v>
      </c>
      <c r="H307" s="38">
        <f t="shared" si="57"/>
        <v>0</v>
      </c>
      <c r="I307" s="39">
        <v>0</v>
      </c>
      <c r="J307" s="116">
        <f t="shared" si="64"/>
        <v>0</v>
      </c>
      <c r="K307" s="117">
        <v>0</v>
      </c>
      <c r="L307" s="118">
        <v>0.999</v>
      </c>
      <c r="M307" s="39">
        <f t="shared" si="58"/>
        <v>0</v>
      </c>
      <c r="N307" s="116">
        <f t="shared" si="59"/>
        <v>0</v>
      </c>
      <c r="O307" s="43"/>
      <c r="P307" s="119"/>
      <c r="Q307" s="120"/>
      <c r="R307" s="121"/>
      <c r="S307" s="122"/>
      <c r="T307" s="34">
        <f t="shared" si="52"/>
        <v>0</v>
      </c>
      <c r="U307" s="34">
        <f t="shared" si="60"/>
        <v>0</v>
      </c>
      <c r="V307" s="34">
        <f t="shared" si="61"/>
        <v>0</v>
      </c>
      <c r="W307" s="34">
        <f t="shared" si="62"/>
        <v>0</v>
      </c>
      <c r="X307" s="48" t="s">
        <v>314</v>
      </c>
      <c r="Y307" s="48" t="s">
        <v>295</v>
      </c>
      <c r="Z307" s="49" t="s">
        <v>647</v>
      </c>
      <c r="AA307" s="49"/>
      <c r="AB307" s="33" t="s">
        <v>724</v>
      </c>
      <c r="AC307" s="33"/>
      <c r="AD307" s="50">
        <f t="shared" si="63"/>
        <v>0</v>
      </c>
      <c r="AE307" s="51">
        <f t="shared" si="55"/>
        <v>0</v>
      </c>
      <c r="AF307" s="51">
        <f t="shared" si="56"/>
        <v>0</v>
      </c>
      <c r="AG307" s="52">
        <v>6027</v>
      </c>
      <c r="AH307" s="52">
        <v>6021</v>
      </c>
      <c r="AI307" s="52">
        <v>1</v>
      </c>
      <c r="AJ307" s="53" t="s">
        <v>759</v>
      </c>
    </row>
    <row r="308" spans="1:36" ht="15.75" hidden="1" x14ac:dyDescent="0.25">
      <c r="A308" s="33" t="s">
        <v>758</v>
      </c>
      <c r="B308" s="34">
        <v>6022</v>
      </c>
      <c r="C308" s="34"/>
      <c r="D308" s="35">
        <v>67</v>
      </c>
      <c r="E308" s="36" t="str">
        <f t="shared" si="53"/>
        <v/>
      </c>
      <c r="F308" s="37" t="str">
        <f t="shared" si="54"/>
        <v/>
      </c>
      <c r="G308" s="38">
        <f t="shared" si="57"/>
        <v>0</v>
      </c>
      <c r="H308" s="38">
        <f t="shared" si="57"/>
        <v>0</v>
      </c>
      <c r="I308" s="39">
        <v>0</v>
      </c>
      <c r="J308" s="116">
        <f t="shared" si="64"/>
        <v>0</v>
      </c>
      <c r="K308" s="117">
        <v>0</v>
      </c>
      <c r="L308" s="118">
        <v>0.999</v>
      </c>
      <c r="M308" s="39">
        <f t="shared" si="58"/>
        <v>0</v>
      </c>
      <c r="N308" s="116">
        <f t="shared" si="59"/>
        <v>0</v>
      </c>
      <c r="O308" s="43"/>
      <c r="P308" s="119"/>
      <c r="Q308" s="120"/>
      <c r="R308" s="121"/>
      <c r="S308" s="122"/>
      <c r="T308" s="34">
        <f t="shared" si="52"/>
        <v>0</v>
      </c>
      <c r="U308" s="34">
        <f t="shared" si="60"/>
        <v>0</v>
      </c>
      <c r="V308" s="34">
        <f t="shared" si="61"/>
        <v>0</v>
      </c>
      <c r="W308" s="34">
        <f t="shared" si="62"/>
        <v>0</v>
      </c>
      <c r="X308" s="48" t="s">
        <v>314</v>
      </c>
      <c r="Y308" s="48" t="s">
        <v>295</v>
      </c>
      <c r="Z308" s="49" t="s">
        <v>647</v>
      </c>
      <c r="AA308" s="49"/>
      <c r="AB308" s="33" t="s">
        <v>724</v>
      </c>
      <c r="AC308" s="33"/>
      <c r="AD308" s="50">
        <f t="shared" si="63"/>
        <v>0</v>
      </c>
      <c r="AE308" s="51">
        <f t="shared" si="55"/>
        <v>0</v>
      </c>
      <c r="AF308" s="51">
        <f t="shared" si="56"/>
        <v>0</v>
      </c>
      <c r="AG308" s="52">
        <v>6027</v>
      </c>
      <c r="AH308" s="52">
        <v>6022</v>
      </c>
      <c r="AI308" s="52">
        <v>1</v>
      </c>
      <c r="AJ308" s="53" t="s">
        <v>760</v>
      </c>
    </row>
    <row r="309" spans="1:36" ht="15.75" hidden="1" x14ac:dyDescent="0.25">
      <c r="A309" s="33" t="s">
        <v>758</v>
      </c>
      <c r="B309" s="34">
        <v>6023</v>
      </c>
      <c r="C309" s="34"/>
      <c r="D309" s="35">
        <v>67</v>
      </c>
      <c r="E309" s="36" t="str">
        <f t="shared" si="53"/>
        <v/>
      </c>
      <c r="F309" s="37" t="str">
        <f t="shared" si="54"/>
        <v/>
      </c>
      <c r="G309" s="38">
        <f t="shared" si="57"/>
        <v>0</v>
      </c>
      <c r="H309" s="38">
        <f t="shared" si="57"/>
        <v>0</v>
      </c>
      <c r="I309" s="39">
        <v>0</v>
      </c>
      <c r="J309" s="116">
        <f t="shared" si="64"/>
        <v>0</v>
      </c>
      <c r="K309" s="117">
        <v>0</v>
      </c>
      <c r="L309" s="118">
        <v>0.999</v>
      </c>
      <c r="M309" s="39">
        <f t="shared" si="58"/>
        <v>0</v>
      </c>
      <c r="N309" s="116">
        <f t="shared" si="59"/>
        <v>0</v>
      </c>
      <c r="O309" s="43"/>
      <c r="P309" s="119"/>
      <c r="Q309" s="120"/>
      <c r="R309" s="121"/>
      <c r="S309" s="122"/>
      <c r="T309" s="34">
        <f t="shared" si="52"/>
        <v>0</v>
      </c>
      <c r="U309" s="34">
        <f t="shared" si="60"/>
        <v>0</v>
      </c>
      <c r="V309" s="34">
        <f t="shared" si="61"/>
        <v>0</v>
      </c>
      <c r="W309" s="34">
        <f t="shared" si="62"/>
        <v>0</v>
      </c>
      <c r="X309" s="48" t="s">
        <v>314</v>
      </c>
      <c r="Y309" s="48" t="s">
        <v>295</v>
      </c>
      <c r="Z309" s="49" t="s">
        <v>647</v>
      </c>
      <c r="AA309" s="49"/>
      <c r="AB309" s="33" t="s">
        <v>724</v>
      </c>
      <c r="AC309" s="33"/>
      <c r="AD309" s="50">
        <f t="shared" si="63"/>
        <v>0</v>
      </c>
      <c r="AE309" s="51">
        <f t="shared" si="55"/>
        <v>0</v>
      </c>
      <c r="AF309" s="51">
        <f t="shared" si="56"/>
        <v>0</v>
      </c>
      <c r="AG309" s="52">
        <v>6028</v>
      </c>
      <c r="AH309" s="52">
        <v>6023</v>
      </c>
      <c r="AI309" s="52">
        <v>1</v>
      </c>
      <c r="AJ309" s="53" t="s">
        <v>761</v>
      </c>
    </row>
    <row r="310" spans="1:36" ht="15.75" hidden="1" x14ac:dyDescent="0.25">
      <c r="A310" s="33" t="s">
        <v>758</v>
      </c>
      <c r="B310" s="34">
        <v>6024</v>
      </c>
      <c r="C310" s="34"/>
      <c r="D310" s="35">
        <v>67</v>
      </c>
      <c r="E310" s="36" t="str">
        <f t="shared" si="53"/>
        <v/>
      </c>
      <c r="F310" s="37" t="str">
        <f t="shared" si="54"/>
        <v/>
      </c>
      <c r="G310" s="38">
        <f t="shared" si="57"/>
        <v>0</v>
      </c>
      <c r="H310" s="38">
        <f t="shared" si="57"/>
        <v>0</v>
      </c>
      <c r="I310" s="39">
        <v>0</v>
      </c>
      <c r="J310" s="116">
        <f t="shared" si="64"/>
        <v>0</v>
      </c>
      <c r="K310" s="117">
        <v>0</v>
      </c>
      <c r="L310" s="118">
        <v>0.999</v>
      </c>
      <c r="M310" s="39">
        <f t="shared" si="58"/>
        <v>0</v>
      </c>
      <c r="N310" s="116">
        <f t="shared" si="59"/>
        <v>0</v>
      </c>
      <c r="O310" s="43"/>
      <c r="P310" s="119"/>
      <c r="Q310" s="120"/>
      <c r="R310" s="121"/>
      <c r="S310" s="122"/>
      <c r="T310" s="34">
        <f t="shared" si="52"/>
        <v>0</v>
      </c>
      <c r="U310" s="34">
        <f t="shared" si="60"/>
        <v>0</v>
      </c>
      <c r="V310" s="34">
        <f t="shared" si="61"/>
        <v>0</v>
      </c>
      <c r="W310" s="34">
        <f t="shared" si="62"/>
        <v>0</v>
      </c>
      <c r="X310" s="48" t="s">
        <v>314</v>
      </c>
      <c r="Y310" s="48" t="s">
        <v>295</v>
      </c>
      <c r="Z310" s="49" t="s">
        <v>647</v>
      </c>
      <c r="AA310" s="49"/>
      <c r="AB310" s="33" t="s">
        <v>724</v>
      </c>
      <c r="AC310" s="33"/>
      <c r="AD310" s="50">
        <f t="shared" si="63"/>
        <v>0</v>
      </c>
      <c r="AE310" s="51">
        <f t="shared" si="55"/>
        <v>0</v>
      </c>
      <c r="AF310" s="51">
        <f t="shared" si="56"/>
        <v>0</v>
      </c>
      <c r="AG310" s="52">
        <v>6028</v>
      </c>
      <c r="AH310" s="52">
        <v>6024</v>
      </c>
      <c r="AI310" s="52">
        <v>1</v>
      </c>
      <c r="AJ310" s="53" t="s">
        <v>762</v>
      </c>
    </row>
    <row r="311" spans="1:36" ht="15.75" hidden="1" x14ac:dyDescent="0.25">
      <c r="A311" s="33" t="s">
        <v>758</v>
      </c>
      <c r="B311" s="34">
        <v>6025</v>
      </c>
      <c r="C311" s="34"/>
      <c r="D311" s="35">
        <v>67</v>
      </c>
      <c r="E311" s="36" t="str">
        <f t="shared" si="53"/>
        <v/>
      </c>
      <c r="F311" s="37" t="str">
        <f t="shared" si="54"/>
        <v/>
      </c>
      <c r="G311" s="38">
        <f t="shared" si="57"/>
        <v>0</v>
      </c>
      <c r="H311" s="38">
        <f t="shared" si="57"/>
        <v>0</v>
      </c>
      <c r="I311" s="39">
        <v>0</v>
      </c>
      <c r="J311" s="116">
        <f t="shared" si="64"/>
        <v>0</v>
      </c>
      <c r="K311" s="117">
        <v>0</v>
      </c>
      <c r="L311" s="118">
        <v>0.999</v>
      </c>
      <c r="M311" s="39">
        <f t="shared" si="58"/>
        <v>0</v>
      </c>
      <c r="N311" s="116">
        <f t="shared" si="59"/>
        <v>0</v>
      </c>
      <c r="O311" s="43"/>
      <c r="P311" s="119"/>
      <c r="Q311" s="120"/>
      <c r="R311" s="121"/>
      <c r="S311" s="122"/>
      <c r="T311" s="34">
        <f t="shared" si="52"/>
        <v>0</v>
      </c>
      <c r="U311" s="34">
        <f t="shared" si="60"/>
        <v>0</v>
      </c>
      <c r="V311" s="34">
        <f t="shared" si="61"/>
        <v>0</v>
      </c>
      <c r="W311" s="34">
        <f t="shared" si="62"/>
        <v>0</v>
      </c>
      <c r="X311" s="48" t="s">
        <v>314</v>
      </c>
      <c r="Y311" s="48" t="s">
        <v>295</v>
      </c>
      <c r="Z311" s="49" t="s">
        <v>647</v>
      </c>
      <c r="AA311" s="49"/>
      <c r="AB311" s="33" t="s">
        <v>724</v>
      </c>
      <c r="AC311" s="33"/>
      <c r="AD311" s="50">
        <f t="shared" si="63"/>
        <v>0</v>
      </c>
      <c r="AE311" s="51">
        <f t="shared" si="55"/>
        <v>0</v>
      </c>
      <c r="AF311" s="51">
        <f t="shared" si="56"/>
        <v>0</v>
      </c>
      <c r="AG311" s="52">
        <v>6029</v>
      </c>
      <c r="AH311" s="52">
        <v>6025</v>
      </c>
      <c r="AI311" s="52">
        <v>1</v>
      </c>
      <c r="AJ311" s="53" t="s">
        <v>763</v>
      </c>
    </row>
    <row r="312" spans="1:36" ht="15.75" hidden="1" x14ac:dyDescent="0.25">
      <c r="A312" s="33" t="s">
        <v>758</v>
      </c>
      <c r="B312" s="34">
        <v>6026</v>
      </c>
      <c r="C312" s="34"/>
      <c r="D312" s="35">
        <v>44</v>
      </c>
      <c r="E312" s="36" t="str">
        <f t="shared" si="53"/>
        <v/>
      </c>
      <c r="F312" s="37" t="str">
        <f t="shared" si="54"/>
        <v/>
      </c>
      <c r="G312" s="38">
        <f t="shared" si="57"/>
        <v>0</v>
      </c>
      <c r="H312" s="38">
        <f t="shared" si="57"/>
        <v>0</v>
      </c>
      <c r="I312" s="39">
        <v>0</v>
      </c>
      <c r="J312" s="116">
        <f t="shared" si="64"/>
        <v>0</v>
      </c>
      <c r="K312" s="117">
        <v>0</v>
      </c>
      <c r="L312" s="118">
        <v>0.999</v>
      </c>
      <c r="M312" s="39">
        <f t="shared" si="58"/>
        <v>0</v>
      </c>
      <c r="N312" s="116">
        <f t="shared" si="59"/>
        <v>0</v>
      </c>
      <c r="O312" s="43"/>
      <c r="P312" s="119"/>
      <c r="Q312" s="120"/>
      <c r="R312" s="121"/>
      <c r="S312" s="122"/>
      <c r="T312" s="34">
        <f t="shared" ref="T312:T375" si="65">AK312</f>
        <v>0</v>
      </c>
      <c r="U312" s="34">
        <f t="shared" si="60"/>
        <v>0</v>
      </c>
      <c r="V312" s="34">
        <f t="shared" si="61"/>
        <v>0</v>
      </c>
      <c r="W312" s="34">
        <f t="shared" si="62"/>
        <v>0</v>
      </c>
      <c r="X312" s="48" t="s">
        <v>314</v>
      </c>
      <c r="Y312" s="48" t="s">
        <v>295</v>
      </c>
      <c r="Z312" s="49" t="s">
        <v>647</v>
      </c>
      <c r="AA312" s="49"/>
      <c r="AB312" s="33" t="s">
        <v>724</v>
      </c>
      <c r="AC312" s="33"/>
      <c r="AD312" s="50">
        <f t="shared" si="63"/>
        <v>0</v>
      </c>
      <c r="AE312" s="51">
        <f t="shared" si="55"/>
        <v>0</v>
      </c>
      <c r="AF312" s="51">
        <f t="shared" si="56"/>
        <v>0</v>
      </c>
      <c r="AG312" s="52">
        <v>6029</v>
      </c>
      <c r="AH312" s="52">
        <v>6026</v>
      </c>
      <c r="AI312" s="52">
        <v>1</v>
      </c>
      <c r="AJ312" s="53" t="s">
        <v>764</v>
      </c>
    </row>
    <row r="313" spans="1:36" ht="15.75" hidden="1" x14ac:dyDescent="0.25">
      <c r="A313" s="33" t="s">
        <v>765</v>
      </c>
      <c r="B313" s="34">
        <v>5820</v>
      </c>
      <c r="C313" s="34"/>
      <c r="D313" s="35">
        <v>136</v>
      </c>
      <c r="E313" s="36" t="str">
        <f t="shared" si="53"/>
        <v/>
      </c>
      <c r="F313" s="37" t="str">
        <f t="shared" si="54"/>
        <v/>
      </c>
      <c r="G313" s="38">
        <f t="shared" si="57"/>
        <v>0</v>
      </c>
      <c r="H313" s="38">
        <f t="shared" si="57"/>
        <v>0</v>
      </c>
      <c r="I313" s="39">
        <v>0</v>
      </c>
      <c r="J313" s="116">
        <f t="shared" si="64"/>
        <v>0</v>
      </c>
      <c r="K313" s="117">
        <v>0</v>
      </c>
      <c r="L313" s="118">
        <v>1</v>
      </c>
      <c r="M313" s="39">
        <f t="shared" si="58"/>
        <v>0</v>
      </c>
      <c r="N313" s="116">
        <f t="shared" si="59"/>
        <v>0</v>
      </c>
      <c r="O313" s="43"/>
      <c r="P313" s="119"/>
      <c r="Q313" s="120"/>
      <c r="R313" s="121"/>
      <c r="S313" s="122"/>
      <c r="T313" s="34">
        <f t="shared" si="65"/>
        <v>0</v>
      </c>
      <c r="U313" s="34">
        <f t="shared" si="60"/>
        <v>0</v>
      </c>
      <c r="V313" s="34">
        <f t="shared" si="61"/>
        <v>0</v>
      </c>
      <c r="W313" s="34">
        <f t="shared" si="62"/>
        <v>0</v>
      </c>
      <c r="X313" s="48" t="s">
        <v>294</v>
      </c>
      <c r="Y313" s="48" t="s">
        <v>295</v>
      </c>
      <c r="Z313" s="49" t="s">
        <v>647</v>
      </c>
      <c r="AA313" s="49"/>
      <c r="AB313" s="33" t="s">
        <v>711</v>
      </c>
      <c r="AC313" s="33"/>
      <c r="AD313" s="50">
        <f t="shared" si="63"/>
        <v>0</v>
      </c>
      <c r="AE313" s="51">
        <f t="shared" si="55"/>
        <v>0</v>
      </c>
      <c r="AF313" s="51">
        <f t="shared" si="56"/>
        <v>0</v>
      </c>
      <c r="AG313" s="52">
        <v>5819</v>
      </c>
      <c r="AH313" s="52">
        <v>5820</v>
      </c>
      <c r="AI313" s="52">
        <v>1</v>
      </c>
      <c r="AJ313" s="53" t="s">
        <v>766</v>
      </c>
    </row>
    <row r="314" spans="1:36" ht="15.75" hidden="1" x14ac:dyDescent="0.25">
      <c r="A314" s="33" t="s">
        <v>767</v>
      </c>
      <c r="B314" s="34">
        <v>5823</v>
      </c>
      <c r="C314" s="34"/>
      <c r="D314" s="35">
        <v>136</v>
      </c>
      <c r="E314" s="36" t="str">
        <f t="shared" si="53"/>
        <v/>
      </c>
      <c r="F314" s="37" t="str">
        <f t="shared" si="54"/>
        <v/>
      </c>
      <c r="G314" s="38">
        <f t="shared" si="57"/>
        <v>0</v>
      </c>
      <c r="H314" s="38">
        <f t="shared" si="57"/>
        <v>0</v>
      </c>
      <c r="I314" s="39">
        <v>0</v>
      </c>
      <c r="J314" s="116">
        <f t="shared" si="64"/>
        <v>0</v>
      </c>
      <c r="K314" s="117">
        <v>0</v>
      </c>
      <c r="L314" s="118">
        <v>1</v>
      </c>
      <c r="M314" s="39">
        <f t="shared" si="58"/>
        <v>0</v>
      </c>
      <c r="N314" s="116">
        <f t="shared" si="59"/>
        <v>0</v>
      </c>
      <c r="O314" s="43"/>
      <c r="P314" s="119"/>
      <c r="Q314" s="120"/>
      <c r="R314" s="121"/>
      <c r="S314" s="122"/>
      <c r="T314" s="34">
        <f t="shared" si="65"/>
        <v>0</v>
      </c>
      <c r="U314" s="34">
        <f t="shared" si="60"/>
        <v>0</v>
      </c>
      <c r="V314" s="34">
        <f t="shared" si="61"/>
        <v>0</v>
      </c>
      <c r="W314" s="34">
        <f t="shared" si="62"/>
        <v>0</v>
      </c>
      <c r="X314" s="48" t="s">
        <v>294</v>
      </c>
      <c r="Y314" s="48" t="s">
        <v>295</v>
      </c>
      <c r="Z314" s="49" t="s">
        <v>647</v>
      </c>
      <c r="AA314" s="49"/>
      <c r="AB314" s="33" t="s">
        <v>711</v>
      </c>
      <c r="AC314" s="33"/>
      <c r="AD314" s="50">
        <f t="shared" si="63"/>
        <v>0</v>
      </c>
      <c r="AE314" s="51">
        <f t="shared" si="55"/>
        <v>0</v>
      </c>
      <c r="AF314" s="51">
        <f t="shared" si="56"/>
        <v>0</v>
      </c>
      <c r="AG314" s="52">
        <v>5819</v>
      </c>
      <c r="AH314" s="52">
        <v>5823</v>
      </c>
      <c r="AI314" s="52">
        <v>1</v>
      </c>
      <c r="AJ314" s="53" t="s">
        <v>768</v>
      </c>
    </row>
    <row r="315" spans="1:36" ht="15.75" hidden="1" x14ac:dyDescent="0.25">
      <c r="A315" s="33" t="s">
        <v>769</v>
      </c>
      <c r="B315" s="34">
        <v>46601</v>
      </c>
      <c r="C315" s="34"/>
      <c r="D315" s="35">
        <v>144</v>
      </c>
      <c r="E315" s="36" t="str">
        <f t="shared" si="53"/>
        <v/>
      </c>
      <c r="F315" s="37" t="str">
        <f t="shared" si="54"/>
        <v/>
      </c>
      <c r="G315" s="38">
        <f t="shared" si="57"/>
        <v>0</v>
      </c>
      <c r="H315" s="38">
        <f t="shared" si="57"/>
        <v>0</v>
      </c>
      <c r="I315" s="39">
        <v>0</v>
      </c>
      <c r="J315" s="116">
        <f t="shared" si="64"/>
        <v>0</v>
      </c>
      <c r="K315" s="117">
        <v>0</v>
      </c>
      <c r="L315" s="118">
        <v>1.01</v>
      </c>
      <c r="M315" s="39">
        <f t="shared" si="58"/>
        <v>0</v>
      </c>
      <c r="N315" s="116">
        <f t="shared" si="59"/>
        <v>0</v>
      </c>
      <c r="O315" s="43"/>
      <c r="P315" s="119"/>
      <c r="Q315" s="120"/>
      <c r="R315" s="121"/>
      <c r="S315" s="122"/>
      <c r="T315" s="34">
        <f t="shared" si="65"/>
        <v>0</v>
      </c>
      <c r="U315" s="34">
        <f t="shared" si="60"/>
        <v>0</v>
      </c>
      <c r="V315" s="34">
        <f t="shared" si="61"/>
        <v>0</v>
      </c>
      <c r="W315" s="34">
        <f t="shared" si="62"/>
        <v>0</v>
      </c>
      <c r="X315" s="48" t="s">
        <v>314</v>
      </c>
      <c r="Y315" s="48" t="s">
        <v>295</v>
      </c>
      <c r="Z315" s="49" t="s">
        <v>647</v>
      </c>
      <c r="AA315" s="49"/>
      <c r="AB315" s="33" t="s">
        <v>724</v>
      </c>
      <c r="AC315" s="33"/>
      <c r="AD315" s="50">
        <f t="shared" si="63"/>
        <v>0</v>
      </c>
      <c r="AE315" s="51">
        <f t="shared" si="55"/>
        <v>0</v>
      </c>
      <c r="AF315" s="51">
        <f t="shared" si="56"/>
        <v>0</v>
      </c>
      <c r="AG315" s="52">
        <v>46600</v>
      </c>
      <c r="AH315" s="52">
        <v>46601</v>
      </c>
      <c r="AI315" s="52">
        <v>1</v>
      </c>
      <c r="AJ315" s="53" t="s">
        <v>770</v>
      </c>
    </row>
    <row r="316" spans="1:36" ht="15.75" hidden="1" x14ac:dyDescent="0.25">
      <c r="A316" s="33" t="s">
        <v>771</v>
      </c>
      <c r="B316" s="34">
        <v>46603</v>
      </c>
      <c r="C316" s="34"/>
      <c r="D316" s="35">
        <v>144</v>
      </c>
      <c r="E316" s="36" t="str">
        <f t="shared" si="53"/>
        <v/>
      </c>
      <c r="F316" s="37" t="str">
        <f t="shared" si="54"/>
        <v/>
      </c>
      <c r="G316" s="38">
        <f t="shared" si="57"/>
        <v>0</v>
      </c>
      <c r="H316" s="38">
        <f t="shared" si="57"/>
        <v>0</v>
      </c>
      <c r="I316" s="39">
        <v>0</v>
      </c>
      <c r="J316" s="116">
        <f t="shared" si="64"/>
        <v>0</v>
      </c>
      <c r="K316" s="117">
        <v>0</v>
      </c>
      <c r="L316" s="118">
        <v>1.01</v>
      </c>
      <c r="M316" s="39">
        <f t="shared" si="58"/>
        <v>0</v>
      </c>
      <c r="N316" s="116">
        <f t="shared" si="59"/>
        <v>0</v>
      </c>
      <c r="O316" s="43"/>
      <c r="P316" s="119"/>
      <c r="Q316" s="120"/>
      <c r="R316" s="121"/>
      <c r="S316" s="122"/>
      <c r="T316" s="34">
        <f t="shared" si="65"/>
        <v>0</v>
      </c>
      <c r="U316" s="34">
        <f t="shared" si="60"/>
        <v>0</v>
      </c>
      <c r="V316" s="34">
        <f t="shared" si="61"/>
        <v>0</v>
      </c>
      <c r="W316" s="34">
        <f t="shared" si="62"/>
        <v>0</v>
      </c>
      <c r="X316" s="48" t="s">
        <v>314</v>
      </c>
      <c r="Y316" s="48" t="s">
        <v>295</v>
      </c>
      <c r="Z316" s="49" t="s">
        <v>647</v>
      </c>
      <c r="AA316" s="49"/>
      <c r="AB316" s="33" t="s">
        <v>724</v>
      </c>
      <c r="AC316" s="33"/>
      <c r="AD316" s="50">
        <f t="shared" si="63"/>
        <v>0</v>
      </c>
      <c r="AE316" s="51">
        <f t="shared" si="55"/>
        <v>0</v>
      </c>
      <c r="AF316" s="51">
        <f t="shared" si="56"/>
        <v>0</v>
      </c>
      <c r="AG316" s="52">
        <v>46602</v>
      </c>
      <c r="AH316" s="52">
        <v>46603</v>
      </c>
      <c r="AI316" s="52">
        <v>3</v>
      </c>
      <c r="AJ316" s="53" t="s">
        <v>772</v>
      </c>
    </row>
    <row r="317" spans="1:36" ht="15.75" hidden="1" x14ac:dyDescent="0.25">
      <c r="A317" s="33" t="s">
        <v>773</v>
      </c>
      <c r="B317" s="34">
        <v>6314</v>
      </c>
      <c r="C317" s="34"/>
      <c r="D317" s="35">
        <v>128</v>
      </c>
      <c r="E317" s="36" t="str">
        <f t="shared" si="53"/>
        <v/>
      </c>
      <c r="F317" s="37" t="str">
        <f t="shared" si="54"/>
        <v/>
      </c>
      <c r="G317" s="38">
        <f t="shared" si="57"/>
        <v>0</v>
      </c>
      <c r="H317" s="38">
        <f t="shared" si="57"/>
        <v>0</v>
      </c>
      <c r="I317" s="39">
        <v>0</v>
      </c>
      <c r="J317" s="116">
        <f t="shared" si="64"/>
        <v>0</v>
      </c>
      <c r="K317" s="117">
        <v>0</v>
      </c>
      <c r="L317" s="118">
        <v>1</v>
      </c>
      <c r="M317" s="39">
        <f t="shared" si="58"/>
        <v>0</v>
      </c>
      <c r="N317" s="116">
        <f t="shared" si="59"/>
        <v>0</v>
      </c>
      <c r="O317" s="43"/>
      <c r="P317" s="119"/>
      <c r="Q317" s="120"/>
      <c r="R317" s="121"/>
      <c r="S317" s="122"/>
      <c r="T317" s="34">
        <f t="shared" si="65"/>
        <v>0</v>
      </c>
      <c r="U317" s="34">
        <f t="shared" si="60"/>
        <v>0</v>
      </c>
      <c r="V317" s="34">
        <f t="shared" si="61"/>
        <v>0</v>
      </c>
      <c r="W317" s="34">
        <f t="shared" si="62"/>
        <v>0</v>
      </c>
      <c r="X317" s="48" t="s">
        <v>314</v>
      </c>
      <c r="Y317" s="48" t="s">
        <v>295</v>
      </c>
      <c r="Z317" s="49" t="s">
        <v>647</v>
      </c>
      <c r="AA317" s="49"/>
      <c r="AB317" s="33" t="s">
        <v>724</v>
      </c>
      <c r="AC317" s="33"/>
      <c r="AD317" s="50">
        <f t="shared" si="63"/>
        <v>0</v>
      </c>
      <c r="AE317" s="51">
        <f t="shared" si="55"/>
        <v>0</v>
      </c>
      <c r="AF317" s="51">
        <f t="shared" si="56"/>
        <v>0</v>
      </c>
      <c r="AG317" s="52">
        <v>6313</v>
      </c>
      <c r="AH317" s="52">
        <v>6314</v>
      </c>
      <c r="AI317" s="52">
        <v>1</v>
      </c>
      <c r="AJ317" s="53" t="s">
        <v>774</v>
      </c>
    </row>
    <row r="318" spans="1:36" ht="15.75" hidden="1" x14ac:dyDescent="0.25">
      <c r="A318" s="33" t="s">
        <v>775</v>
      </c>
      <c r="B318" s="34">
        <v>5242</v>
      </c>
      <c r="C318" s="34"/>
      <c r="D318" s="35">
        <v>50</v>
      </c>
      <c r="E318" s="36" t="str">
        <f t="shared" si="53"/>
        <v/>
      </c>
      <c r="F318" s="37" t="str">
        <f t="shared" si="54"/>
        <v/>
      </c>
      <c r="G318" s="38">
        <f t="shared" si="57"/>
        <v>0</v>
      </c>
      <c r="H318" s="38">
        <f t="shared" si="57"/>
        <v>0</v>
      </c>
      <c r="I318" s="39">
        <v>0</v>
      </c>
      <c r="J318" s="116">
        <f t="shared" si="64"/>
        <v>0</v>
      </c>
      <c r="K318" s="117">
        <v>0</v>
      </c>
      <c r="L318" s="118">
        <v>1</v>
      </c>
      <c r="M318" s="39">
        <f t="shared" si="58"/>
        <v>0</v>
      </c>
      <c r="N318" s="116">
        <f t="shared" si="59"/>
        <v>0</v>
      </c>
      <c r="O318" s="43"/>
      <c r="P318" s="119"/>
      <c r="Q318" s="120"/>
      <c r="R318" s="121"/>
      <c r="S318" s="122"/>
      <c r="T318" s="34">
        <f t="shared" si="65"/>
        <v>0</v>
      </c>
      <c r="U318" s="34">
        <f t="shared" si="60"/>
        <v>0</v>
      </c>
      <c r="V318" s="34">
        <f t="shared" si="61"/>
        <v>0</v>
      </c>
      <c r="W318" s="34">
        <f t="shared" si="62"/>
        <v>0</v>
      </c>
      <c r="X318" s="48" t="s">
        <v>737</v>
      </c>
      <c r="Y318" s="48" t="s">
        <v>295</v>
      </c>
      <c r="Z318" s="49" t="s">
        <v>647</v>
      </c>
      <c r="AA318" s="49"/>
      <c r="AB318" s="33" t="s">
        <v>738</v>
      </c>
      <c r="AC318" s="33"/>
      <c r="AD318" s="50">
        <f t="shared" si="63"/>
        <v>0</v>
      </c>
      <c r="AE318" s="51">
        <f t="shared" si="55"/>
        <v>0</v>
      </c>
      <c r="AF318" s="51">
        <f t="shared" si="56"/>
        <v>0</v>
      </c>
      <c r="AG318" s="52">
        <v>5258</v>
      </c>
      <c r="AH318" s="52">
        <v>5242</v>
      </c>
      <c r="AI318" s="52">
        <v>1</v>
      </c>
      <c r="AJ318" s="53" t="s">
        <v>776</v>
      </c>
    </row>
    <row r="319" spans="1:36" ht="15.75" hidden="1" x14ac:dyDescent="0.25">
      <c r="A319" s="33" t="s">
        <v>777</v>
      </c>
      <c r="B319" s="34">
        <v>5240</v>
      </c>
      <c r="C319" s="34"/>
      <c r="D319" s="35">
        <v>47</v>
      </c>
      <c r="E319" s="36" t="str">
        <f t="shared" si="53"/>
        <v/>
      </c>
      <c r="F319" s="37" t="str">
        <f t="shared" si="54"/>
        <v/>
      </c>
      <c r="G319" s="38">
        <f t="shared" si="57"/>
        <v>0</v>
      </c>
      <c r="H319" s="38">
        <f t="shared" si="57"/>
        <v>0</v>
      </c>
      <c r="I319" s="39">
        <v>0</v>
      </c>
      <c r="J319" s="116">
        <f t="shared" si="64"/>
        <v>0</v>
      </c>
      <c r="K319" s="117">
        <v>0</v>
      </c>
      <c r="L319" s="118">
        <v>1</v>
      </c>
      <c r="M319" s="39">
        <f t="shared" si="58"/>
        <v>0</v>
      </c>
      <c r="N319" s="116">
        <f t="shared" si="59"/>
        <v>0</v>
      </c>
      <c r="O319" s="43"/>
      <c r="P319" s="119"/>
      <c r="Q319" s="120"/>
      <c r="R319" s="121"/>
      <c r="S319" s="122"/>
      <c r="T319" s="34">
        <f t="shared" si="65"/>
        <v>0</v>
      </c>
      <c r="U319" s="34">
        <f t="shared" si="60"/>
        <v>0</v>
      </c>
      <c r="V319" s="34">
        <f t="shared" si="61"/>
        <v>0</v>
      </c>
      <c r="W319" s="34">
        <f t="shared" si="62"/>
        <v>0</v>
      </c>
      <c r="X319" s="48" t="s">
        <v>737</v>
      </c>
      <c r="Y319" s="48" t="s">
        <v>295</v>
      </c>
      <c r="Z319" s="49" t="s">
        <v>647</v>
      </c>
      <c r="AA319" s="49"/>
      <c r="AB319" s="33" t="s">
        <v>738</v>
      </c>
      <c r="AC319" s="33"/>
      <c r="AD319" s="50">
        <f t="shared" si="63"/>
        <v>0</v>
      </c>
      <c r="AE319" s="51">
        <f t="shared" si="55"/>
        <v>0</v>
      </c>
      <c r="AF319" s="51">
        <f t="shared" si="56"/>
        <v>0</v>
      </c>
      <c r="AG319" s="52">
        <v>5258</v>
      </c>
      <c r="AH319" s="52">
        <v>5240</v>
      </c>
      <c r="AI319" s="52">
        <v>1</v>
      </c>
      <c r="AJ319" s="53" t="s">
        <v>778</v>
      </c>
    </row>
    <row r="320" spans="1:36" ht="15.75" hidden="1" x14ac:dyDescent="0.25">
      <c r="A320" s="33" t="s">
        <v>779</v>
      </c>
      <c r="B320" s="34">
        <v>5757</v>
      </c>
      <c r="C320" s="34"/>
      <c r="D320" s="35">
        <v>120</v>
      </c>
      <c r="E320" s="36" t="str">
        <f t="shared" si="53"/>
        <v/>
      </c>
      <c r="F320" s="37" t="str">
        <f t="shared" si="54"/>
        <v/>
      </c>
      <c r="G320" s="38">
        <f t="shared" si="57"/>
        <v>0</v>
      </c>
      <c r="H320" s="38">
        <f t="shared" si="57"/>
        <v>0</v>
      </c>
      <c r="I320" s="39">
        <v>0</v>
      </c>
      <c r="J320" s="116">
        <f t="shared" si="64"/>
        <v>0</v>
      </c>
      <c r="K320" s="117">
        <v>0</v>
      </c>
      <c r="L320" s="118">
        <v>0.98299999999999998</v>
      </c>
      <c r="M320" s="39">
        <f t="shared" si="58"/>
        <v>0</v>
      </c>
      <c r="N320" s="116">
        <f t="shared" si="59"/>
        <v>0</v>
      </c>
      <c r="O320" s="43"/>
      <c r="P320" s="119"/>
      <c r="Q320" s="120"/>
      <c r="R320" s="121"/>
      <c r="S320" s="122"/>
      <c r="T320" s="34">
        <f t="shared" si="65"/>
        <v>0</v>
      </c>
      <c r="U320" s="34">
        <f t="shared" si="60"/>
        <v>0</v>
      </c>
      <c r="V320" s="34">
        <f t="shared" si="61"/>
        <v>0</v>
      </c>
      <c r="W320" s="34">
        <f t="shared" si="62"/>
        <v>0</v>
      </c>
      <c r="X320" s="48" t="s">
        <v>294</v>
      </c>
      <c r="Y320" s="48" t="s">
        <v>295</v>
      </c>
      <c r="Z320" s="49" t="s">
        <v>548</v>
      </c>
      <c r="AA320" s="49"/>
      <c r="AB320" s="33" t="s">
        <v>711</v>
      </c>
      <c r="AC320" s="33"/>
      <c r="AD320" s="50">
        <f t="shared" si="63"/>
        <v>0</v>
      </c>
      <c r="AE320" s="51">
        <f t="shared" si="55"/>
        <v>0</v>
      </c>
      <c r="AF320" s="51">
        <f t="shared" si="56"/>
        <v>0</v>
      </c>
      <c r="AG320" s="52">
        <v>5751</v>
      </c>
      <c r="AH320" s="52">
        <v>5757</v>
      </c>
      <c r="AI320" s="52">
        <v>9</v>
      </c>
      <c r="AJ320" s="53" t="s">
        <v>780</v>
      </c>
    </row>
    <row r="321" spans="1:36" ht="15.75" hidden="1" x14ac:dyDescent="0.25">
      <c r="A321" s="33" t="s">
        <v>781</v>
      </c>
      <c r="B321" s="34">
        <v>8159</v>
      </c>
      <c r="C321" s="34"/>
      <c r="D321" s="35">
        <v>372</v>
      </c>
      <c r="E321" s="36" t="str">
        <f t="shared" si="53"/>
        <v/>
      </c>
      <c r="F321" s="37" t="str">
        <f t="shared" si="54"/>
        <v/>
      </c>
      <c r="G321" s="38">
        <f t="shared" si="57"/>
        <v>0</v>
      </c>
      <c r="H321" s="38">
        <f t="shared" si="57"/>
        <v>0</v>
      </c>
      <c r="I321" s="39">
        <v>0</v>
      </c>
      <c r="J321" s="116">
        <f t="shared" si="64"/>
        <v>0</v>
      </c>
      <c r="K321" s="117">
        <v>0</v>
      </c>
      <c r="L321" s="118">
        <v>1.01</v>
      </c>
      <c r="M321" s="39">
        <f t="shared" si="58"/>
        <v>0</v>
      </c>
      <c r="N321" s="116">
        <f t="shared" si="59"/>
        <v>0</v>
      </c>
      <c r="O321" s="43"/>
      <c r="P321" s="119"/>
      <c r="Q321" s="120"/>
      <c r="R321" s="121"/>
      <c r="S321" s="122"/>
      <c r="T321" s="34">
        <f t="shared" si="65"/>
        <v>0</v>
      </c>
      <c r="U321" s="34">
        <f t="shared" si="60"/>
        <v>0</v>
      </c>
      <c r="V321" s="34">
        <f t="shared" si="61"/>
        <v>0</v>
      </c>
      <c r="W321" s="34">
        <f t="shared" si="62"/>
        <v>0</v>
      </c>
      <c r="X321" s="48" t="s">
        <v>364</v>
      </c>
      <c r="Y321" s="48" t="s">
        <v>365</v>
      </c>
      <c r="Z321" s="49" t="s">
        <v>548</v>
      </c>
      <c r="AA321" s="49"/>
      <c r="AB321" s="33" t="s">
        <v>782</v>
      </c>
      <c r="AC321" s="33"/>
      <c r="AD321" s="50">
        <f t="shared" si="63"/>
        <v>0</v>
      </c>
      <c r="AE321" s="51">
        <f t="shared" si="55"/>
        <v>0</v>
      </c>
      <c r="AF321" s="51">
        <f t="shared" si="56"/>
        <v>0</v>
      </c>
      <c r="AG321" s="52">
        <v>5649</v>
      </c>
      <c r="AH321" s="52">
        <v>8159</v>
      </c>
      <c r="AI321" s="52">
        <v>1</v>
      </c>
      <c r="AJ321" s="53" t="s">
        <v>783</v>
      </c>
    </row>
    <row r="322" spans="1:36" ht="15.75" hidden="1" x14ac:dyDescent="0.25">
      <c r="A322" s="33" t="s">
        <v>784</v>
      </c>
      <c r="B322" s="34">
        <v>5646</v>
      </c>
      <c r="C322" s="34"/>
      <c r="D322" s="35">
        <v>337</v>
      </c>
      <c r="E322" s="36" t="str">
        <f t="shared" si="53"/>
        <v/>
      </c>
      <c r="F322" s="37" t="str">
        <f t="shared" si="54"/>
        <v/>
      </c>
      <c r="G322" s="38">
        <f t="shared" si="57"/>
        <v>0</v>
      </c>
      <c r="H322" s="38">
        <f t="shared" si="57"/>
        <v>0</v>
      </c>
      <c r="I322" s="39">
        <v>330</v>
      </c>
      <c r="J322" s="116">
        <f t="shared" si="64"/>
        <v>0.97922848664688422</v>
      </c>
      <c r="K322" s="117">
        <v>-135</v>
      </c>
      <c r="L322" s="118">
        <v>1.01</v>
      </c>
      <c r="M322" s="39">
        <f t="shared" si="58"/>
        <v>330</v>
      </c>
      <c r="N322" s="116">
        <f t="shared" si="59"/>
        <v>0.97922848664688422</v>
      </c>
      <c r="O322" s="43"/>
      <c r="P322" s="119"/>
      <c r="Q322" s="120"/>
      <c r="R322" s="121"/>
      <c r="S322" s="122"/>
      <c r="T322" s="34">
        <f t="shared" si="65"/>
        <v>0</v>
      </c>
      <c r="U322" s="34">
        <f t="shared" si="60"/>
        <v>0</v>
      </c>
      <c r="V322" s="34">
        <f t="shared" si="61"/>
        <v>0</v>
      </c>
      <c r="W322" s="34">
        <f t="shared" si="62"/>
        <v>0</v>
      </c>
      <c r="X322" s="48" t="s">
        <v>364</v>
      </c>
      <c r="Y322" s="48" t="s">
        <v>365</v>
      </c>
      <c r="Z322" s="49" t="s">
        <v>548</v>
      </c>
      <c r="AA322" s="49"/>
      <c r="AB322" s="33" t="s">
        <v>782</v>
      </c>
      <c r="AC322" s="33"/>
      <c r="AD322" s="50">
        <f t="shared" si="63"/>
        <v>0.97922848664688422</v>
      </c>
      <c r="AE322" s="51">
        <f t="shared" si="55"/>
        <v>0</v>
      </c>
      <c r="AF322" s="51">
        <f t="shared" si="56"/>
        <v>0</v>
      </c>
      <c r="AG322" s="52">
        <v>5649</v>
      </c>
      <c r="AH322" s="52">
        <v>5646</v>
      </c>
      <c r="AI322" s="52">
        <v>1</v>
      </c>
      <c r="AJ322" s="53" t="s">
        <v>785</v>
      </c>
    </row>
    <row r="323" spans="1:36" ht="15.75" hidden="1" x14ac:dyDescent="0.25">
      <c r="A323" s="33" t="s">
        <v>786</v>
      </c>
      <c r="B323" s="34">
        <v>5815</v>
      </c>
      <c r="C323" s="34"/>
      <c r="D323" s="35">
        <v>173</v>
      </c>
      <c r="E323" s="36" t="str">
        <f t="shared" si="53"/>
        <v/>
      </c>
      <c r="F323" s="37" t="str">
        <f t="shared" si="54"/>
        <v/>
      </c>
      <c r="G323" s="38">
        <f t="shared" si="57"/>
        <v>0</v>
      </c>
      <c r="H323" s="38">
        <f t="shared" si="57"/>
        <v>0</v>
      </c>
      <c r="I323" s="39">
        <v>150</v>
      </c>
      <c r="J323" s="116">
        <f t="shared" si="64"/>
        <v>0.86705202312138729</v>
      </c>
      <c r="K323" s="117">
        <v>-71.400000000000006</v>
      </c>
      <c r="L323" s="118">
        <v>1</v>
      </c>
      <c r="M323" s="39">
        <f t="shared" si="58"/>
        <v>150</v>
      </c>
      <c r="N323" s="116">
        <f t="shared" si="59"/>
        <v>0.86705202312138729</v>
      </c>
      <c r="O323" s="43"/>
      <c r="P323" s="119"/>
      <c r="Q323" s="120"/>
      <c r="R323" s="121"/>
      <c r="S323" s="122"/>
      <c r="T323" s="34">
        <f t="shared" si="65"/>
        <v>0</v>
      </c>
      <c r="U323" s="34">
        <f t="shared" si="60"/>
        <v>0</v>
      </c>
      <c r="V323" s="34">
        <f t="shared" si="61"/>
        <v>0</v>
      </c>
      <c r="W323" s="34">
        <f t="shared" si="62"/>
        <v>0</v>
      </c>
      <c r="X323" s="48" t="s">
        <v>364</v>
      </c>
      <c r="Y323" s="48" t="s">
        <v>365</v>
      </c>
      <c r="Z323" s="49" t="s">
        <v>548</v>
      </c>
      <c r="AA323" s="49"/>
      <c r="AB323" s="33" t="s">
        <v>782</v>
      </c>
      <c r="AC323" s="33"/>
      <c r="AD323" s="50">
        <f t="shared" si="63"/>
        <v>0.86705202312138729</v>
      </c>
      <c r="AE323" s="51">
        <f t="shared" si="55"/>
        <v>0</v>
      </c>
      <c r="AF323" s="51">
        <f t="shared" si="56"/>
        <v>0</v>
      </c>
      <c r="AG323" s="52">
        <v>5815</v>
      </c>
      <c r="AH323" s="52">
        <v>5649</v>
      </c>
      <c r="AI323" s="52">
        <v>1</v>
      </c>
      <c r="AJ323" s="53" t="s">
        <v>787</v>
      </c>
    </row>
    <row r="324" spans="1:36" ht="15.75" hidden="1" x14ac:dyDescent="0.25">
      <c r="A324" s="33" t="s">
        <v>788</v>
      </c>
      <c r="B324" s="34">
        <v>5647</v>
      </c>
      <c r="C324" s="34"/>
      <c r="D324" s="35">
        <v>337</v>
      </c>
      <c r="E324" s="36" t="str">
        <f t="shared" si="53"/>
        <v/>
      </c>
      <c r="F324" s="37" t="str">
        <f t="shared" si="54"/>
        <v/>
      </c>
      <c r="G324" s="38">
        <f t="shared" si="57"/>
        <v>0</v>
      </c>
      <c r="H324" s="38">
        <f t="shared" si="57"/>
        <v>0</v>
      </c>
      <c r="I324" s="39">
        <v>0</v>
      </c>
      <c r="J324" s="116">
        <f t="shared" si="64"/>
        <v>0</v>
      </c>
      <c r="K324" s="117">
        <v>0</v>
      </c>
      <c r="L324" s="118">
        <v>1.06</v>
      </c>
      <c r="M324" s="39">
        <f t="shared" si="58"/>
        <v>0</v>
      </c>
      <c r="N324" s="116">
        <f t="shared" si="59"/>
        <v>0</v>
      </c>
      <c r="O324" s="43"/>
      <c r="P324" s="119"/>
      <c r="Q324" s="120"/>
      <c r="R324" s="121"/>
      <c r="S324" s="122"/>
      <c r="T324" s="34">
        <f t="shared" si="65"/>
        <v>0</v>
      </c>
      <c r="U324" s="34">
        <f t="shared" si="60"/>
        <v>0</v>
      </c>
      <c r="V324" s="34">
        <f t="shared" si="61"/>
        <v>0</v>
      </c>
      <c r="W324" s="34">
        <f t="shared" si="62"/>
        <v>0</v>
      </c>
      <c r="X324" s="48" t="s">
        <v>364</v>
      </c>
      <c r="Y324" s="48" t="s">
        <v>365</v>
      </c>
      <c r="Z324" s="49" t="s">
        <v>548</v>
      </c>
      <c r="AA324" s="49"/>
      <c r="AB324" s="33" t="s">
        <v>782</v>
      </c>
      <c r="AC324" s="33"/>
      <c r="AD324" s="50">
        <f t="shared" si="63"/>
        <v>0</v>
      </c>
      <c r="AE324" s="51">
        <f t="shared" si="55"/>
        <v>0</v>
      </c>
      <c r="AF324" s="51">
        <f t="shared" si="56"/>
        <v>0</v>
      </c>
      <c r="AG324" s="52">
        <v>5649</v>
      </c>
      <c r="AH324" s="52">
        <v>5647</v>
      </c>
      <c r="AI324" s="52">
        <v>1</v>
      </c>
      <c r="AJ324" s="53" t="s">
        <v>789</v>
      </c>
    </row>
    <row r="325" spans="1:36" ht="15.75" hidden="1" x14ac:dyDescent="0.25">
      <c r="A325" s="33" t="s">
        <v>790</v>
      </c>
      <c r="B325" s="34">
        <v>5648</v>
      </c>
      <c r="C325" s="34"/>
      <c r="D325" s="35">
        <v>337</v>
      </c>
      <c r="E325" s="36" t="str">
        <f t="shared" si="53"/>
        <v/>
      </c>
      <c r="F325" s="37" t="str">
        <f t="shared" si="54"/>
        <v/>
      </c>
      <c r="G325" s="38">
        <f t="shared" si="57"/>
        <v>0</v>
      </c>
      <c r="H325" s="38">
        <f t="shared" si="57"/>
        <v>0</v>
      </c>
      <c r="I325" s="39">
        <v>0</v>
      </c>
      <c r="J325" s="116">
        <f t="shared" si="64"/>
        <v>0</v>
      </c>
      <c r="K325" s="117">
        <v>0</v>
      </c>
      <c r="L325" s="118">
        <v>1.06</v>
      </c>
      <c r="M325" s="39">
        <f t="shared" si="58"/>
        <v>0</v>
      </c>
      <c r="N325" s="116">
        <f t="shared" si="59"/>
        <v>0</v>
      </c>
      <c r="O325" s="43"/>
      <c r="P325" s="119"/>
      <c r="Q325" s="120"/>
      <c r="R325" s="121"/>
      <c r="S325" s="122"/>
      <c r="T325" s="34">
        <f t="shared" si="65"/>
        <v>0</v>
      </c>
      <c r="U325" s="34">
        <f t="shared" si="60"/>
        <v>0</v>
      </c>
      <c r="V325" s="34">
        <f t="shared" si="61"/>
        <v>0</v>
      </c>
      <c r="W325" s="34">
        <f t="shared" si="62"/>
        <v>0</v>
      </c>
      <c r="X325" s="48" t="s">
        <v>364</v>
      </c>
      <c r="Y325" s="48" t="s">
        <v>365</v>
      </c>
      <c r="Z325" s="49" t="s">
        <v>548</v>
      </c>
      <c r="AA325" s="49"/>
      <c r="AB325" s="33" t="s">
        <v>782</v>
      </c>
      <c r="AC325" s="33"/>
      <c r="AD325" s="50">
        <f t="shared" si="63"/>
        <v>0</v>
      </c>
      <c r="AE325" s="51">
        <f t="shared" si="55"/>
        <v>0</v>
      </c>
      <c r="AF325" s="51">
        <f t="shared" si="56"/>
        <v>0</v>
      </c>
      <c r="AG325" s="52">
        <v>5649</v>
      </c>
      <c r="AH325" s="52">
        <v>5648</v>
      </c>
      <c r="AI325" s="52">
        <v>1</v>
      </c>
      <c r="AJ325" s="53" t="s">
        <v>791</v>
      </c>
    </row>
    <row r="326" spans="1:36" ht="15.75" hidden="1" x14ac:dyDescent="0.25">
      <c r="A326" s="33" t="s">
        <v>792</v>
      </c>
      <c r="B326" s="34">
        <v>5642</v>
      </c>
      <c r="C326" s="34"/>
      <c r="D326" s="35">
        <v>56</v>
      </c>
      <c r="E326" s="36" t="str">
        <f t="shared" ref="E326:E375" si="66">IF(AS326="-",IF(AW326=0,"",AW326),"")</f>
        <v/>
      </c>
      <c r="F326" s="37" t="str">
        <f t="shared" ref="F326:F375" si="67">IF(AS326="-",AX326,"")</f>
        <v/>
      </c>
      <c r="G326" s="38">
        <f t="shared" si="57"/>
        <v>0</v>
      </c>
      <c r="H326" s="38">
        <f t="shared" si="57"/>
        <v>0</v>
      </c>
      <c r="I326" s="39">
        <v>0</v>
      </c>
      <c r="J326" s="116">
        <f t="shared" si="64"/>
        <v>0</v>
      </c>
      <c r="K326" s="117">
        <v>0</v>
      </c>
      <c r="L326" s="118">
        <v>1.05</v>
      </c>
      <c r="M326" s="39">
        <f t="shared" si="58"/>
        <v>0</v>
      </c>
      <c r="N326" s="116">
        <f t="shared" si="59"/>
        <v>0</v>
      </c>
      <c r="O326" s="43"/>
      <c r="P326" s="119"/>
      <c r="Q326" s="120"/>
      <c r="R326" s="121"/>
      <c r="S326" s="122"/>
      <c r="T326" s="34">
        <f t="shared" si="65"/>
        <v>0</v>
      </c>
      <c r="U326" s="34">
        <f t="shared" si="60"/>
        <v>0</v>
      </c>
      <c r="V326" s="34">
        <f t="shared" si="61"/>
        <v>0</v>
      </c>
      <c r="W326" s="34">
        <f t="shared" si="62"/>
        <v>0</v>
      </c>
      <c r="X326" s="48" t="s">
        <v>364</v>
      </c>
      <c r="Y326" s="48" t="s">
        <v>365</v>
      </c>
      <c r="Z326" s="49" t="s">
        <v>548</v>
      </c>
      <c r="AA326" s="49"/>
      <c r="AB326" s="33" t="s">
        <v>782</v>
      </c>
      <c r="AC326" s="33"/>
      <c r="AD326" s="50">
        <f t="shared" si="63"/>
        <v>0</v>
      </c>
      <c r="AE326" s="51">
        <f t="shared" ref="AE326:AE375" si="68">IFERROR(+D326/VLOOKUP(AB326,$A$386:$E$428,3,FALSE),0)</f>
        <v>0</v>
      </c>
      <c r="AF326" s="51">
        <f t="shared" ref="AF326:AF375" si="69">IFERROR(+I326/VLOOKUP(AB326,$A$386:$E$428,5,FALSE),0)</f>
        <v>0</v>
      </c>
      <c r="AG326" s="52">
        <v>5649</v>
      </c>
      <c r="AH326" s="52">
        <v>5642</v>
      </c>
      <c r="AI326" s="52">
        <v>1</v>
      </c>
      <c r="AJ326" s="53" t="s">
        <v>793</v>
      </c>
    </row>
    <row r="327" spans="1:36" ht="15.75" hidden="1" x14ac:dyDescent="0.25">
      <c r="A327" s="58" t="s">
        <v>794</v>
      </c>
      <c r="B327" s="59">
        <v>8423</v>
      </c>
      <c r="C327" s="59"/>
      <c r="D327" s="60">
        <v>631</v>
      </c>
      <c r="E327" s="36" t="str">
        <f t="shared" si="66"/>
        <v/>
      </c>
      <c r="F327" s="37" t="str">
        <f t="shared" si="67"/>
        <v/>
      </c>
      <c r="G327" s="38">
        <f t="shared" si="57"/>
        <v>0</v>
      </c>
      <c r="H327" s="38">
        <f t="shared" si="57"/>
        <v>0</v>
      </c>
      <c r="I327" s="39">
        <v>0</v>
      </c>
      <c r="J327" s="116">
        <f t="shared" si="64"/>
        <v>0</v>
      </c>
      <c r="K327" s="117">
        <v>0</v>
      </c>
      <c r="L327" s="118">
        <v>0.98599999999999999</v>
      </c>
      <c r="M327" s="39">
        <f t="shared" si="58"/>
        <v>0</v>
      </c>
      <c r="N327" s="116">
        <f t="shared" si="59"/>
        <v>0</v>
      </c>
      <c r="O327" s="43"/>
      <c r="P327" s="119"/>
      <c r="Q327" s="120"/>
      <c r="R327" s="121"/>
      <c r="S327" s="122"/>
      <c r="T327" s="34">
        <f t="shared" si="65"/>
        <v>0</v>
      </c>
      <c r="U327" s="34">
        <f t="shared" si="60"/>
        <v>0</v>
      </c>
      <c r="V327" s="34">
        <f t="shared" si="61"/>
        <v>0</v>
      </c>
      <c r="W327" s="34">
        <f t="shared" si="62"/>
        <v>0</v>
      </c>
      <c r="X327" s="48" t="s">
        <v>368</v>
      </c>
      <c r="Y327" s="48" t="s">
        <v>365</v>
      </c>
      <c r="Z327" s="49" t="s">
        <v>548</v>
      </c>
      <c r="AA327" s="49"/>
      <c r="AB327" s="33" t="s">
        <v>795</v>
      </c>
      <c r="AC327" s="33"/>
      <c r="AD327" s="50">
        <f t="shared" si="63"/>
        <v>0</v>
      </c>
      <c r="AE327" s="51">
        <f t="shared" si="68"/>
        <v>0</v>
      </c>
      <c r="AF327" s="51">
        <f t="shared" si="69"/>
        <v>0</v>
      </c>
      <c r="AG327" s="52">
        <v>8422</v>
      </c>
      <c r="AH327" s="52">
        <v>8423</v>
      </c>
      <c r="AI327" s="52">
        <v>1</v>
      </c>
      <c r="AJ327" s="53" t="s">
        <v>796</v>
      </c>
    </row>
    <row r="328" spans="1:36" ht="15.75" hidden="1" x14ac:dyDescent="0.25">
      <c r="A328" s="33" t="s">
        <v>797</v>
      </c>
      <c r="B328" s="34">
        <v>5650</v>
      </c>
      <c r="C328" s="34"/>
      <c r="D328" s="35">
        <v>168</v>
      </c>
      <c r="E328" s="36" t="str">
        <f t="shared" si="66"/>
        <v/>
      </c>
      <c r="F328" s="37" t="str">
        <f t="shared" si="67"/>
        <v/>
      </c>
      <c r="G328" s="38">
        <f t="shared" si="57"/>
        <v>0</v>
      </c>
      <c r="H328" s="38">
        <f t="shared" si="57"/>
        <v>0</v>
      </c>
      <c r="I328" s="39">
        <v>0</v>
      </c>
      <c r="J328" s="116">
        <f t="shared" si="64"/>
        <v>0</v>
      </c>
      <c r="K328" s="117">
        <v>0</v>
      </c>
      <c r="L328" s="118">
        <v>1.06</v>
      </c>
      <c r="M328" s="39">
        <f t="shared" si="58"/>
        <v>0</v>
      </c>
      <c r="N328" s="116">
        <f t="shared" si="59"/>
        <v>0</v>
      </c>
      <c r="O328" s="43"/>
      <c r="P328" s="119"/>
      <c r="Q328" s="120"/>
      <c r="R328" s="121"/>
      <c r="S328" s="122"/>
      <c r="T328" s="34">
        <f t="shared" si="65"/>
        <v>0</v>
      </c>
      <c r="U328" s="34">
        <f t="shared" si="60"/>
        <v>0</v>
      </c>
      <c r="V328" s="34">
        <f t="shared" si="61"/>
        <v>0</v>
      </c>
      <c r="W328" s="34">
        <f t="shared" si="62"/>
        <v>0</v>
      </c>
      <c r="X328" s="48" t="s">
        <v>364</v>
      </c>
      <c r="Y328" s="48" t="s">
        <v>365</v>
      </c>
      <c r="Z328" s="49" t="s">
        <v>647</v>
      </c>
      <c r="AA328" s="49"/>
      <c r="AB328" s="33" t="s">
        <v>782</v>
      </c>
      <c r="AC328" s="33"/>
      <c r="AD328" s="50">
        <f t="shared" si="63"/>
        <v>0</v>
      </c>
      <c r="AE328" s="51">
        <f t="shared" si="68"/>
        <v>0</v>
      </c>
      <c r="AF328" s="51">
        <f t="shared" si="69"/>
        <v>0</v>
      </c>
      <c r="AG328" s="52">
        <v>5649</v>
      </c>
      <c r="AH328" s="52">
        <v>5650</v>
      </c>
      <c r="AI328" s="52">
        <v>1</v>
      </c>
      <c r="AJ328" s="53" t="s">
        <v>798</v>
      </c>
    </row>
    <row r="329" spans="1:36" ht="15.75" hidden="1" x14ac:dyDescent="0.25">
      <c r="A329" s="33" t="s">
        <v>799</v>
      </c>
      <c r="B329" s="34">
        <v>47517</v>
      </c>
      <c r="C329" s="34"/>
      <c r="D329" s="35">
        <v>92</v>
      </c>
      <c r="E329" s="36" t="str">
        <f t="shared" si="66"/>
        <v/>
      </c>
      <c r="F329" s="37" t="str">
        <f t="shared" si="67"/>
        <v/>
      </c>
      <c r="G329" s="38">
        <f t="shared" si="57"/>
        <v>0</v>
      </c>
      <c r="H329" s="38">
        <f t="shared" si="57"/>
        <v>0</v>
      </c>
      <c r="I329" s="39">
        <v>0</v>
      </c>
      <c r="J329" s="116">
        <f t="shared" si="64"/>
        <v>0</v>
      </c>
      <c r="K329" s="117">
        <v>0</v>
      </c>
      <c r="L329" s="118">
        <v>1.01</v>
      </c>
      <c r="M329" s="39">
        <f t="shared" si="58"/>
        <v>0</v>
      </c>
      <c r="N329" s="116">
        <f t="shared" si="59"/>
        <v>0</v>
      </c>
      <c r="O329" s="43"/>
      <c r="P329" s="119"/>
      <c r="Q329" s="120"/>
      <c r="R329" s="121"/>
      <c r="S329" s="122"/>
      <c r="T329" s="34">
        <f t="shared" si="65"/>
        <v>0</v>
      </c>
      <c r="U329" s="34">
        <f t="shared" si="60"/>
        <v>0</v>
      </c>
      <c r="V329" s="34">
        <f t="shared" si="61"/>
        <v>0</v>
      </c>
      <c r="W329" s="34">
        <f t="shared" si="62"/>
        <v>0</v>
      </c>
      <c r="X329" s="48" t="s">
        <v>364</v>
      </c>
      <c r="Y329" s="48" t="s">
        <v>365</v>
      </c>
      <c r="Z329" s="49" t="s">
        <v>647</v>
      </c>
      <c r="AA329" s="49"/>
      <c r="AB329" s="33" t="s">
        <v>782</v>
      </c>
      <c r="AC329" s="33"/>
      <c r="AD329" s="50">
        <f t="shared" si="63"/>
        <v>0</v>
      </c>
      <c r="AE329" s="51">
        <f t="shared" si="68"/>
        <v>0</v>
      </c>
      <c r="AF329" s="51">
        <f t="shared" si="69"/>
        <v>0</v>
      </c>
      <c r="AG329" s="52">
        <v>5649</v>
      </c>
      <c r="AH329" s="52">
        <v>47517</v>
      </c>
      <c r="AI329" s="52">
        <v>1</v>
      </c>
      <c r="AJ329" s="53" t="s">
        <v>800</v>
      </c>
    </row>
    <row r="330" spans="1:36" ht="15.75" hidden="1" x14ac:dyDescent="0.25">
      <c r="A330" s="33" t="s">
        <v>801</v>
      </c>
      <c r="B330" s="34">
        <v>5609</v>
      </c>
      <c r="C330" s="34"/>
      <c r="D330" s="35">
        <v>360</v>
      </c>
      <c r="E330" s="36" t="str">
        <f t="shared" si="66"/>
        <v/>
      </c>
      <c r="F330" s="37" t="str">
        <f t="shared" si="67"/>
        <v/>
      </c>
      <c r="G330" s="38">
        <f t="shared" si="57"/>
        <v>0</v>
      </c>
      <c r="H330" s="38">
        <f t="shared" si="57"/>
        <v>0</v>
      </c>
      <c r="I330" s="39">
        <v>0</v>
      </c>
      <c r="J330" s="116">
        <f t="shared" si="64"/>
        <v>0</v>
      </c>
      <c r="K330" s="117">
        <v>0</v>
      </c>
      <c r="L330" s="118">
        <v>1.01</v>
      </c>
      <c r="M330" s="39">
        <f t="shared" si="58"/>
        <v>0</v>
      </c>
      <c r="N330" s="116">
        <f t="shared" si="59"/>
        <v>0</v>
      </c>
      <c r="O330" s="43"/>
      <c r="P330" s="119"/>
      <c r="Q330" s="120"/>
      <c r="R330" s="121"/>
      <c r="S330" s="122"/>
      <c r="T330" s="34">
        <f t="shared" si="65"/>
        <v>0</v>
      </c>
      <c r="U330" s="34">
        <f t="shared" si="60"/>
        <v>0</v>
      </c>
      <c r="V330" s="34">
        <f t="shared" si="61"/>
        <v>0</v>
      </c>
      <c r="W330" s="34">
        <f t="shared" si="62"/>
        <v>0</v>
      </c>
      <c r="X330" s="48" t="s">
        <v>364</v>
      </c>
      <c r="Y330" s="48" t="s">
        <v>365</v>
      </c>
      <c r="Z330" s="49" t="s">
        <v>673</v>
      </c>
      <c r="AA330" s="49"/>
      <c r="AB330" s="33" t="s">
        <v>782</v>
      </c>
      <c r="AC330" s="33"/>
      <c r="AD330" s="50">
        <f t="shared" si="63"/>
        <v>0</v>
      </c>
      <c r="AE330" s="51">
        <f t="shared" si="68"/>
        <v>0</v>
      </c>
      <c r="AF330" s="51">
        <f t="shared" si="69"/>
        <v>0</v>
      </c>
      <c r="AG330" s="52">
        <v>5610</v>
      </c>
      <c r="AH330" s="52">
        <v>5609</v>
      </c>
      <c r="AI330" s="52">
        <v>1</v>
      </c>
      <c r="AJ330" s="53" t="s">
        <v>802</v>
      </c>
    </row>
    <row r="331" spans="1:36" ht="15.75" hidden="1" x14ac:dyDescent="0.25">
      <c r="A331" s="58" t="s">
        <v>803</v>
      </c>
      <c r="B331" s="59">
        <v>44931</v>
      </c>
      <c r="C331" s="59"/>
      <c r="D331" s="60" t="s">
        <v>804</v>
      </c>
      <c r="E331" s="36" t="str">
        <f t="shared" si="66"/>
        <v/>
      </c>
      <c r="F331" s="37" t="str">
        <f t="shared" si="67"/>
        <v/>
      </c>
      <c r="G331" s="38">
        <f t="shared" si="57"/>
        <v>0</v>
      </c>
      <c r="H331" s="38">
        <f t="shared" si="57"/>
        <v>0</v>
      </c>
      <c r="I331" s="39"/>
      <c r="J331" s="116" t="str">
        <f t="shared" si="64"/>
        <v>-</v>
      </c>
      <c r="K331" s="117"/>
      <c r="L331" s="118"/>
      <c r="M331" s="39">
        <f t="shared" si="58"/>
        <v>0</v>
      </c>
      <c r="N331" s="116">
        <f t="shared" si="59"/>
        <v>0</v>
      </c>
      <c r="O331" s="43"/>
      <c r="P331" s="119"/>
      <c r="Q331" s="120"/>
      <c r="R331" s="121"/>
      <c r="S331" s="122"/>
      <c r="T331" s="34">
        <f t="shared" si="65"/>
        <v>0</v>
      </c>
      <c r="U331" s="34">
        <f t="shared" si="60"/>
        <v>0</v>
      </c>
      <c r="V331" s="34">
        <f t="shared" si="61"/>
        <v>0</v>
      </c>
      <c r="W331" s="34">
        <f t="shared" si="62"/>
        <v>0</v>
      </c>
      <c r="X331" s="48" t="s">
        <v>387</v>
      </c>
      <c r="Y331" s="48" t="s">
        <v>365</v>
      </c>
      <c r="Z331" s="49" t="s">
        <v>548</v>
      </c>
      <c r="AA331" s="49"/>
      <c r="AB331" s="33" t="s">
        <v>805</v>
      </c>
      <c r="AC331" s="33"/>
      <c r="AD331" s="50">
        <f t="shared" si="63"/>
        <v>0</v>
      </c>
      <c r="AE331" s="51">
        <f t="shared" si="68"/>
        <v>0</v>
      </c>
      <c r="AF331" s="51">
        <f t="shared" si="69"/>
        <v>0</v>
      </c>
      <c r="AG331" s="52" t="s">
        <v>134</v>
      </c>
      <c r="AH331" s="52" t="s">
        <v>134</v>
      </c>
      <c r="AI331" s="52" t="s">
        <v>134</v>
      </c>
      <c r="AJ331" s="53" t="s">
        <v>134</v>
      </c>
    </row>
    <row r="332" spans="1:36" ht="15.75" hidden="1" x14ac:dyDescent="0.25">
      <c r="A332" s="58" t="s">
        <v>806</v>
      </c>
      <c r="B332" s="59">
        <v>45916</v>
      </c>
      <c r="C332" s="59"/>
      <c r="D332" s="60" t="s">
        <v>804</v>
      </c>
      <c r="E332" s="36" t="str">
        <f t="shared" si="66"/>
        <v/>
      </c>
      <c r="F332" s="37" t="str">
        <f t="shared" si="67"/>
        <v/>
      </c>
      <c r="G332" s="38">
        <f t="shared" si="57"/>
        <v>0</v>
      </c>
      <c r="H332" s="38">
        <f t="shared" si="57"/>
        <v>0</v>
      </c>
      <c r="I332" s="39"/>
      <c r="J332" s="116" t="str">
        <f t="shared" si="64"/>
        <v>-</v>
      </c>
      <c r="K332" s="117"/>
      <c r="L332" s="118"/>
      <c r="M332" s="39">
        <f t="shared" si="58"/>
        <v>0</v>
      </c>
      <c r="N332" s="116">
        <f t="shared" si="59"/>
        <v>0</v>
      </c>
      <c r="O332" s="43"/>
      <c r="P332" s="119"/>
      <c r="Q332" s="120"/>
      <c r="R332" s="121"/>
      <c r="S332" s="122"/>
      <c r="T332" s="34">
        <f t="shared" si="65"/>
        <v>0</v>
      </c>
      <c r="U332" s="34">
        <f t="shared" si="60"/>
        <v>0</v>
      </c>
      <c r="V332" s="34">
        <f t="shared" si="61"/>
        <v>0</v>
      </c>
      <c r="W332" s="34">
        <f t="shared" si="62"/>
        <v>0</v>
      </c>
      <c r="X332" s="48" t="s">
        <v>387</v>
      </c>
      <c r="Y332" s="48" t="s">
        <v>365</v>
      </c>
      <c r="Z332" s="49" t="s">
        <v>548</v>
      </c>
      <c r="AA332" s="49"/>
      <c r="AB332" s="33" t="s">
        <v>805</v>
      </c>
      <c r="AC332" s="33"/>
      <c r="AD332" s="50">
        <f t="shared" si="63"/>
        <v>0</v>
      </c>
      <c r="AE332" s="51">
        <f t="shared" si="68"/>
        <v>0</v>
      </c>
      <c r="AF332" s="51">
        <f t="shared" si="69"/>
        <v>0</v>
      </c>
      <c r="AG332" s="52" t="s">
        <v>134</v>
      </c>
      <c r="AH332" s="52" t="s">
        <v>134</v>
      </c>
      <c r="AI332" s="52" t="s">
        <v>134</v>
      </c>
      <c r="AJ332" s="53" t="s">
        <v>134</v>
      </c>
    </row>
    <row r="333" spans="1:36" ht="15.75" hidden="1" x14ac:dyDescent="0.25">
      <c r="A333" s="58" t="s">
        <v>807</v>
      </c>
      <c r="B333" s="59">
        <v>45917</v>
      </c>
      <c r="C333" s="59"/>
      <c r="D333" s="60" t="s">
        <v>808</v>
      </c>
      <c r="E333" s="36" t="str">
        <f t="shared" si="66"/>
        <v/>
      </c>
      <c r="F333" s="37" t="str">
        <f t="shared" si="67"/>
        <v/>
      </c>
      <c r="G333" s="38">
        <f t="shared" si="57"/>
        <v>0</v>
      </c>
      <c r="H333" s="38">
        <f t="shared" si="57"/>
        <v>0</v>
      </c>
      <c r="I333" s="39"/>
      <c r="J333" s="116" t="str">
        <f t="shared" si="64"/>
        <v>-</v>
      </c>
      <c r="K333" s="117"/>
      <c r="L333" s="118"/>
      <c r="M333" s="39">
        <f t="shared" si="58"/>
        <v>0</v>
      </c>
      <c r="N333" s="116">
        <f t="shared" si="59"/>
        <v>0</v>
      </c>
      <c r="O333" s="43"/>
      <c r="P333" s="119"/>
      <c r="Q333" s="120"/>
      <c r="R333" s="121"/>
      <c r="S333" s="122"/>
      <c r="T333" s="34">
        <f t="shared" si="65"/>
        <v>0</v>
      </c>
      <c r="U333" s="34">
        <f t="shared" si="60"/>
        <v>0</v>
      </c>
      <c r="V333" s="34">
        <f t="shared" si="61"/>
        <v>0</v>
      </c>
      <c r="W333" s="34">
        <f t="shared" si="62"/>
        <v>0</v>
      </c>
      <c r="X333" s="48" t="s">
        <v>387</v>
      </c>
      <c r="Y333" s="48" t="s">
        <v>365</v>
      </c>
      <c r="Z333" s="49" t="s">
        <v>548</v>
      </c>
      <c r="AA333" s="49"/>
      <c r="AB333" s="33" t="s">
        <v>805</v>
      </c>
      <c r="AC333" s="33"/>
      <c r="AD333" s="50">
        <f t="shared" si="63"/>
        <v>0</v>
      </c>
      <c r="AE333" s="51">
        <f t="shared" si="68"/>
        <v>0</v>
      </c>
      <c r="AF333" s="51">
        <f t="shared" si="69"/>
        <v>0</v>
      </c>
      <c r="AG333" s="52" t="s">
        <v>134</v>
      </c>
      <c r="AH333" s="52" t="s">
        <v>134</v>
      </c>
      <c r="AI333" s="52" t="s">
        <v>134</v>
      </c>
      <c r="AJ333" s="53" t="s">
        <v>134</v>
      </c>
    </row>
    <row r="334" spans="1:36" ht="15.75" hidden="1" x14ac:dyDescent="0.25">
      <c r="A334" s="58" t="s">
        <v>809</v>
      </c>
      <c r="B334" s="59">
        <v>45918</v>
      </c>
      <c r="C334" s="59"/>
      <c r="D334" s="60" t="s">
        <v>810</v>
      </c>
      <c r="E334" s="36" t="str">
        <f t="shared" si="66"/>
        <v/>
      </c>
      <c r="F334" s="37" t="str">
        <f t="shared" si="67"/>
        <v/>
      </c>
      <c r="G334" s="38">
        <f t="shared" si="57"/>
        <v>0</v>
      </c>
      <c r="H334" s="38">
        <f t="shared" si="57"/>
        <v>0</v>
      </c>
      <c r="I334" s="39"/>
      <c r="J334" s="116" t="str">
        <f t="shared" si="64"/>
        <v>-</v>
      </c>
      <c r="K334" s="117"/>
      <c r="L334" s="118"/>
      <c r="M334" s="39">
        <f t="shared" si="58"/>
        <v>0</v>
      </c>
      <c r="N334" s="116">
        <f t="shared" si="59"/>
        <v>0</v>
      </c>
      <c r="O334" s="43"/>
      <c r="P334" s="119"/>
      <c r="Q334" s="120"/>
      <c r="R334" s="121"/>
      <c r="S334" s="122"/>
      <c r="T334" s="34">
        <f t="shared" si="65"/>
        <v>0</v>
      </c>
      <c r="U334" s="34">
        <f t="shared" si="60"/>
        <v>0</v>
      </c>
      <c r="V334" s="34">
        <f t="shared" si="61"/>
        <v>0</v>
      </c>
      <c r="W334" s="34">
        <f t="shared" si="62"/>
        <v>0</v>
      </c>
      <c r="X334" s="48" t="s">
        <v>387</v>
      </c>
      <c r="Y334" s="48" t="s">
        <v>365</v>
      </c>
      <c r="Z334" s="49" t="s">
        <v>548</v>
      </c>
      <c r="AA334" s="49"/>
      <c r="AB334" s="33" t="s">
        <v>805</v>
      </c>
      <c r="AC334" s="33"/>
      <c r="AD334" s="50">
        <f t="shared" si="63"/>
        <v>0</v>
      </c>
      <c r="AE334" s="51">
        <f t="shared" si="68"/>
        <v>0</v>
      </c>
      <c r="AF334" s="51">
        <f t="shared" si="69"/>
        <v>0</v>
      </c>
      <c r="AG334" s="52" t="s">
        <v>134</v>
      </c>
      <c r="AH334" s="52" t="s">
        <v>134</v>
      </c>
      <c r="AI334" s="52" t="s">
        <v>134</v>
      </c>
      <c r="AJ334" s="53" t="s">
        <v>134</v>
      </c>
    </row>
    <row r="335" spans="1:36" ht="15.75" hidden="1" x14ac:dyDescent="0.25">
      <c r="A335" s="33" t="s">
        <v>811</v>
      </c>
      <c r="B335" s="34">
        <v>5557</v>
      </c>
      <c r="C335" s="34"/>
      <c r="D335" s="35">
        <v>87</v>
      </c>
      <c r="E335" s="36" t="str">
        <f t="shared" si="66"/>
        <v/>
      </c>
      <c r="F335" s="37" t="str">
        <f t="shared" si="67"/>
        <v/>
      </c>
      <c r="G335" s="38">
        <f t="shared" ref="G335:H375" si="70">BD335</f>
        <v>0</v>
      </c>
      <c r="H335" s="38">
        <f t="shared" si="70"/>
        <v>0</v>
      </c>
      <c r="I335" s="39">
        <v>0</v>
      </c>
      <c r="J335" s="116">
        <f t="shared" si="64"/>
        <v>0</v>
      </c>
      <c r="K335" s="117">
        <v>0</v>
      </c>
      <c r="L335" s="118">
        <v>1</v>
      </c>
      <c r="M335" s="39">
        <f t="shared" ref="M335:M375" si="71">IF(O335&lt;&gt;"",ROUND(O335,0),IF(P335&lt;&gt;"",ROUND(P335*D335,0),I335))</f>
        <v>0</v>
      </c>
      <c r="N335" s="116">
        <f t="shared" ref="N335:N375" si="72">IF(M335&lt;&gt;"",+M335/$D335,"-")</f>
        <v>0</v>
      </c>
      <c r="O335" s="43"/>
      <c r="P335" s="119"/>
      <c r="Q335" s="120"/>
      <c r="R335" s="121"/>
      <c r="S335" s="122"/>
      <c r="T335" s="34">
        <f t="shared" si="65"/>
        <v>0</v>
      </c>
      <c r="U335" s="34">
        <f t="shared" ref="U335:U375" si="73">AN335</f>
        <v>0</v>
      </c>
      <c r="V335" s="34">
        <f t="shared" ref="V335:V375" si="74">IF(AND(ISBLANK(O335),ISBLANK(P335),ISBLANK(Q335)),AP335,AO335)</f>
        <v>0</v>
      </c>
      <c r="W335" s="34">
        <f t="shared" ref="W335:W375" si="75">AM335</f>
        <v>0</v>
      </c>
      <c r="X335" s="48" t="s">
        <v>364</v>
      </c>
      <c r="Y335" s="48" t="s">
        <v>365</v>
      </c>
      <c r="Z335" s="49" t="s">
        <v>647</v>
      </c>
      <c r="AA335" s="49"/>
      <c r="AB335" s="33" t="s">
        <v>782</v>
      </c>
      <c r="AC335" s="33"/>
      <c r="AD335" s="50">
        <f t="shared" ref="AD335:AD375" si="76">(I335/D335)</f>
        <v>0</v>
      </c>
      <c r="AE335" s="51">
        <f t="shared" si="68"/>
        <v>0</v>
      </c>
      <c r="AF335" s="51">
        <f t="shared" si="69"/>
        <v>0</v>
      </c>
      <c r="AG335" s="52">
        <v>5556</v>
      </c>
      <c r="AH335" s="52">
        <v>5557</v>
      </c>
      <c r="AI335" s="52">
        <v>1</v>
      </c>
      <c r="AJ335" s="53" t="s">
        <v>812</v>
      </c>
    </row>
    <row r="336" spans="1:36" ht="15.75" hidden="1" x14ac:dyDescent="0.25">
      <c r="A336" s="33" t="s">
        <v>811</v>
      </c>
      <c r="B336" s="34">
        <v>5558</v>
      </c>
      <c r="C336" s="34"/>
      <c r="D336" s="35">
        <v>78</v>
      </c>
      <c r="E336" s="36" t="str">
        <f t="shared" si="66"/>
        <v/>
      </c>
      <c r="F336" s="37" t="str">
        <f t="shared" si="67"/>
        <v/>
      </c>
      <c r="G336" s="38">
        <f t="shared" si="70"/>
        <v>0</v>
      </c>
      <c r="H336" s="38">
        <f t="shared" si="70"/>
        <v>0</v>
      </c>
      <c r="I336" s="39">
        <v>0</v>
      </c>
      <c r="J336" s="116">
        <f t="shared" si="64"/>
        <v>0</v>
      </c>
      <c r="K336" s="117">
        <v>0</v>
      </c>
      <c r="L336" s="118">
        <v>1</v>
      </c>
      <c r="M336" s="39">
        <f t="shared" si="71"/>
        <v>0</v>
      </c>
      <c r="N336" s="116">
        <f t="shared" si="72"/>
        <v>0</v>
      </c>
      <c r="O336" s="43"/>
      <c r="P336" s="119"/>
      <c r="Q336" s="120"/>
      <c r="R336" s="121"/>
      <c r="S336" s="122"/>
      <c r="T336" s="34">
        <f t="shared" si="65"/>
        <v>0</v>
      </c>
      <c r="U336" s="34">
        <f t="shared" si="73"/>
        <v>0</v>
      </c>
      <c r="V336" s="34">
        <f t="shared" si="74"/>
        <v>0</v>
      </c>
      <c r="W336" s="34">
        <f t="shared" si="75"/>
        <v>0</v>
      </c>
      <c r="X336" s="48" t="s">
        <v>364</v>
      </c>
      <c r="Y336" s="48" t="s">
        <v>365</v>
      </c>
      <c r="Z336" s="49" t="s">
        <v>647</v>
      </c>
      <c r="AA336" s="49"/>
      <c r="AB336" s="33" t="s">
        <v>782</v>
      </c>
      <c r="AC336" s="33"/>
      <c r="AD336" s="50">
        <f t="shared" si="76"/>
        <v>0</v>
      </c>
      <c r="AE336" s="51">
        <f t="shared" si="68"/>
        <v>0</v>
      </c>
      <c r="AF336" s="51">
        <f t="shared" si="69"/>
        <v>0</v>
      </c>
      <c r="AG336" s="52">
        <v>5556</v>
      </c>
      <c r="AH336" s="52">
        <v>5558</v>
      </c>
      <c r="AI336" s="52">
        <v>1</v>
      </c>
      <c r="AJ336" s="53" t="s">
        <v>813</v>
      </c>
    </row>
    <row r="337" spans="1:36" ht="15.75" hidden="1" x14ac:dyDescent="0.25">
      <c r="A337" s="33" t="s">
        <v>814</v>
      </c>
      <c r="B337" s="34">
        <v>6447</v>
      </c>
      <c r="C337" s="34"/>
      <c r="D337" s="35">
        <v>87</v>
      </c>
      <c r="E337" s="36" t="str">
        <f t="shared" si="66"/>
        <v/>
      </c>
      <c r="F337" s="37" t="str">
        <f t="shared" si="67"/>
        <v/>
      </c>
      <c r="G337" s="38">
        <f t="shared" si="70"/>
        <v>0</v>
      </c>
      <c r="H337" s="38">
        <f t="shared" si="70"/>
        <v>0</v>
      </c>
      <c r="I337" s="39">
        <v>0</v>
      </c>
      <c r="J337" s="116">
        <f t="shared" ref="J337:J375" si="77">IF(I337&lt;&gt;"",+I337/$D337,"-")</f>
        <v>0</v>
      </c>
      <c r="K337" s="117">
        <v>0</v>
      </c>
      <c r="L337" s="118">
        <v>1</v>
      </c>
      <c r="M337" s="39">
        <f t="shared" si="71"/>
        <v>0</v>
      </c>
      <c r="N337" s="116">
        <f t="shared" si="72"/>
        <v>0</v>
      </c>
      <c r="O337" s="43"/>
      <c r="P337" s="119"/>
      <c r="Q337" s="120"/>
      <c r="R337" s="121"/>
      <c r="S337" s="122"/>
      <c r="T337" s="34">
        <f t="shared" si="65"/>
        <v>0</v>
      </c>
      <c r="U337" s="34">
        <f t="shared" si="73"/>
        <v>0</v>
      </c>
      <c r="V337" s="34">
        <f t="shared" si="74"/>
        <v>0</v>
      </c>
      <c r="W337" s="34">
        <f t="shared" si="75"/>
        <v>0</v>
      </c>
      <c r="X337" s="48" t="s">
        <v>364</v>
      </c>
      <c r="Y337" s="48" t="s">
        <v>365</v>
      </c>
      <c r="Z337" s="49" t="s">
        <v>647</v>
      </c>
      <c r="AA337" s="49"/>
      <c r="AB337" s="33" t="s">
        <v>782</v>
      </c>
      <c r="AC337" s="33"/>
      <c r="AD337" s="50">
        <f t="shared" si="76"/>
        <v>0</v>
      </c>
      <c r="AE337" s="51">
        <f t="shared" si="68"/>
        <v>0</v>
      </c>
      <c r="AF337" s="51">
        <f t="shared" si="69"/>
        <v>0</v>
      </c>
      <c r="AG337" s="52">
        <v>5556</v>
      </c>
      <c r="AH337" s="52">
        <v>6447</v>
      </c>
      <c r="AI337" s="52">
        <v>1</v>
      </c>
      <c r="AJ337" s="53" t="s">
        <v>815</v>
      </c>
    </row>
    <row r="338" spans="1:36" ht="15.75" hidden="1" x14ac:dyDescent="0.25">
      <c r="A338" s="33" t="s">
        <v>816</v>
      </c>
      <c r="B338" s="34">
        <v>6448</v>
      </c>
      <c r="C338" s="34"/>
      <c r="D338" s="35">
        <v>78</v>
      </c>
      <c r="E338" s="36" t="str">
        <f t="shared" si="66"/>
        <v/>
      </c>
      <c r="F338" s="37" t="str">
        <f t="shared" si="67"/>
        <v/>
      </c>
      <c r="G338" s="38">
        <f t="shared" si="70"/>
        <v>0</v>
      </c>
      <c r="H338" s="38">
        <f t="shared" si="70"/>
        <v>0</v>
      </c>
      <c r="I338" s="39">
        <v>0</v>
      </c>
      <c r="J338" s="116">
        <f t="shared" si="77"/>
        <v>0</v>
      </c>
      <c r="K338" s="117">
        <v>0</v>
      </c>
      <c r="L338" s="118">
        <v>1</v>
      </c>
      <c r="M338" s="39">
        <f t="shared" si="71"/>
        <v>0</v>
      </c>
      <c r="N338" s="116">
        <f t="shared" si="72"/>
        <v>0</v>
      </c>
      <c r="O338" s="43"/>
      <c r="P338" s="119"/>
      <c r="Q338" s="120"/>
      <c r="R338" s="121"/>
      <c r="S338" s="122"/>
      <c r="T338" s="34">
        <f t="shared" si="65"/>
        <v>0</v>
      </c>
      <c r="U338" s="34">
        <f t="shared" si="73"/>
        <v>0</v>
      </c>
      <c r="V338" s="34">
        <f t="shared" si="74"/>
        <v>0</v>
      </c>
      <c r="W338" s="34">
        <f t="shared" si="75"/>
        <v>0</v>
      </c>
      <c r="X338" s="48" t="s">
        <v>364</v>
      </c>
      <c r="Y338" s="48" t="s">
        <v>365</v>
      </c>
      <c r="Z338" s="49" t="s">
        <v>647</v>
      </c>
      <c r="AA338" s="49"/>
      <c r="AB338" s="33" t="s">
        <v>782</v>
      </c>
      <c r="AC338" s="33"/>
      <c r="AD338" s="50">
        <f t="shared" si="76"/>
        <v>0</v>
      </c>
      <c r="AE338" s="51">
        <f t="shared" si="68"/>
        <v>0</v>
      </c>
      <c r="AF338" s="51">
        <f t="shared" si="69"/>
        <v>0</v>
      </c>
      <c r="AG338" s="52">
        <v>5556</v>
      </c>
      <c r="AH338" s="52">
        <v>6448</v>
      </c>
      <c r="AI338" s="52">
        <v>1</v>
      </c>
      <c r="AJ338" s="53" t="s">
        <v>817</v>
      </c>
    </row>
    <row r="339" spans="1:36" ht="15.75" hidden="1" x14ac:dyDescent="0.25">
      <c r="A339" s="33" t="s">
        <v>818</v>
      </c>
      <c r="B339" s="34">
        <v>8535</v>
      </c>
      <c r="C339" s="34"/>
      <c r="D339" s="85">
        <v>375</v>
      </c>
      <c r="E339" s="36" t="str">
        <f t="shared" si="66"/>
        <v/>
      </c>
      <c r="F339" s="37" t="str">
        <f t="shared" si="67"/>
        <v/>
      </c>
      <c r="G339" s="38">
        <f t="shared" si="70"/>
        <v>0</v>
      </c>
      <c r="H339" s="38">
        <f t="shared" si="70"/>
        <v>0</v>
      </c>
      <c r="I339" s="39">
        <v>264</v>
      </c>
      <c r="J339" s="116">
        <f t="shared" si="77"/>
        <v>0.70399999999999996</v>
      </c>
      <c r="K339" s="117">
        <v>73.290000000000006</v>
      </c>
      <c r="L339" s="118">
        <v>0.998</v>
      </c>
      <c r="M339" s="39">
        <f t="shared" si="71"/>
        <v>264</v>
      </c>
      <c r="N339" s="116">
        <f t="shared" si="72"/>
        <v>0.70399999999999996</v>
      </c>
      <c r="O339" s="43"/>
      <c r="P339" s="119"/>
      <c r="Q339" s="120"/>
      <c r="R339" s="121"/>
      <c r="S339" s="122"/>
      <c r="T339" s="34">
        <f t="shared" si="65"/>
        <v>0</v>
      </c>
      <c r="U339" s="34">
        <f t="shared" si="73"/>
        <v>0</v>
      </c>
      <c r="V339" s="34">
        <f t="shared" si="74"/>
        <v>0</v>
      </c>
      <c r="W339" s="34">
        <f t="shared" si="75"/>
        <v>0</v>
      </c>
      <c r="X339" s="48" t="s">
        <v>387</v>
      </c>
      <c r="Y339" s="48" t="s">
        <v>365</v>
      </c>
      <c r="Z339" s="49" t="s">
        <v>548</v>
      </c>
      <c r="AA339" s="49"/>
      <c r="AB339" s="33" t="s">
        <v>805</v>
      </c>
      <c r="AC339" s="33"/>
      <c r="AD339" s="50">
        <f t="shared" si="76"/>
        <v>0.70399999999999996</v>
      </c>
      <c r="AE339" s="51">
        <f t="shared" si="68"/>
        <v>0</v>
      </c>
      <c r="AF339" s="51">
        <f t="shared" si="69"/>
        <v>0</v>
      </c>
      <c r="AG339" s="52">
        <v>8531</v>
      </c>
      <c r="AH339" s="52">
        <v>8535</v>
      </c>
      <c r="AI339" s="52">
        <v>1</v>
      </c>
      <c r="AJ339" s="53" t="s">
        <v>819</v>
      </c>
    </row>
    <row r="340" spans="1:36" ht="15.75" hidden="1" x14ac:dyDescent="0.25">
      <c r="A340" s="33" t="s">
        <v>820</v>
      </c>
      <c r="B340" s="34">
        <v>8538</v>
      </c>
      <c r="C340" s="34"/>
      <c r="D340" s="85">
        <v>208</v>
      </c>
      <c r="E340" s="36" t="str">
        <f t="shared" si="66"/>
        <v/>
      </c>
      <c r="F340" s="37" t="str">
        <f t="shared" si="67"/>
        <v/>
      </c>
      <c r="G340" s="38">
        <f t="shared" si="70"/>
        <v>0</v>
      </c>
      <c r="H340" s="38">
        <f t="shared" si="70"/>
        <v>0</v>
      </c>
      <c r="I340" s="39">
        <v>0</v>
      </c>
      <c r="J340" s="116">
        <f t="shared" si="77"/>
        <v>0</v>
      </c>
      <c r="K340" s="117">
        <v>0</v>
      </c>
      <c r="L340" s="118">
        <v>0.98</v>
      </c>
      <c r="M340" s="39">
        <f t="shared" si="71"/>
        <v>0</v>
      </c>
      <c r="N340" s="116">
        <f t="shared" si="72"/>
        <v>0</v>
      </c>
      <c r="O340" s="43"/>
      <c r="P340" s="119"/>
      <c r="Q340" s="120"/>
      <c r="R340" s="121"/>
      <c r="S340" s="122"/>
      <c r="T340" s="34">
        <f t="shared" si="65"/>
        <v>0</v>
      </c>
      <c r="U340" s="34">
        <f t="shared" si="73"/>
        <v>0</v>
      </c>
      <c r="V340" s="34">
        <f t="shared" si="74"/>
        <v>0</v>
      </c>
      <c r="W340" s="34">
        <f t="shared" si="75"/>
        <v>0</v>
      </c>
      <c r="X340" s="48" t="s">
        <v>387</v>
      </c>
      <c r="Y340" s="48" t="s">
        <v>365</v>
      </c>
      <c r="Z340" s="49" t="s">
        <v>548</v>
      </c>
      <c r="AA340" s="49"/>
      <c r="AB340" s="33" t="s">
        <v>805</v>
      </c>
      <c r="AC340" s="33"/>
      <c r="AD340" s="50">
        <f t="shared" si="76"/>
        <v>0</v>
      </c>
      <c r="AE340" s="51">
        <f t="shared" si="68"/>
        <v>0</v>
      </c>
      <c r="AF340" s="51">
        <f t="shared" si="69"/>
        <v>0</v>
      </c>
      <c r="AG340" s="52">
        <v>8531</v>
      </c>
      <c r="AH340" s="52">
        <v>8538</v>
      </c>
      <c r="AI340" s="52">
        <v>1</v>
      </c>
      <c r="AJ340" s="53" t="s">
        <v>821</v>
      </c>
    </row>
    <row r="341" spans="1:36" ht="15.75" hidden="1" x14ac:dyDescent="0.25">
      <c r="A341" s="33" t="s">
        <v>822</v>
      </c>
      <c r="B341" s="34">
        <v>8646</v>
      </c>
      <c r="C341" s="34"/>
      <c r="D341" s="35">
        <v>80</v>
      </c>
      <c r="E341" s="36" t="str">
        <f t="shared" si="66"/>
        <v/>
      </c>
      <c r="F341" s="37" t="str">
        <f t="shared" si="67"/>
        <v/>
      </c>
      <c r="G341" s="38">
        <f t="shared" si="70"/>
        <v>0</v>
      </c>
      <c r="H341" s="38">
        <f t="shared" si="70"/>
        <v>0</v>
      </c>
      <c r="I341" s="39">
        <v>75</v>
      </c>
      <c r="J341" s="116">
        <f t="shared" si="77"/>
        <v>0.9375</v>
      </c>
      <c r="K341" s="117">
        <v>1.381</v>
      </c>
      <c r="L341" s="118">
        <v>0.97299999999999998</v>
      </c>
      <c r="M341" s="39">
        <f t="shared" si="71"/>
        <v>75</v>
      </c>
      <c r="N341" s="116">
        <f t="shared" si="72"/>
        <v>0.9375</v>
      </c>
      <c r="O341" s="43"/>
      <c r="P341" s="119"/>
      <c r="Q341" s="120"/>
      <c r="R341" s="121"/>
      <c r="S341" s="122"/>
      <c r="T341" s="34">
        <f t="shared" si="65"/>
        <v>0</v>
      </c>
      <c r="U341" s="34">
        <f t="shared" si="73"/>
        <v>0</v>
      </c>
      <c r="V341" s="34">
        <f t="shared" si="74"/>
        <v>0</v>
      </c>
      <c r="W341" s="34">
        <f t="shared" si="75"/>
        <v>0</v>
      </c>
      <c r="X341" s="48" t="s">
        <v>387</v>
      </c>
      <c r="Y341" s="48" t="s">
        <v>365</v>
      </c>
      <c r="Z341" s="49" t="s">
        <v>548</v>
      </c>
      <c r="AA341" s="49"/>
      <c r="AB341" s="33" t="s">
        <v>805</v>
      </c>
      <c r="AC341" s="33"/>
      <c r="AD341" s="50">
        <f t="shared" si="76"/>
        <v>0.9375</v>
      </c>
      <c r="AE341" s="51">
        <f t="shared" si="68"/>
        <v>0</v>
      </c>
      <c r="AF341" s="51">
        <f t="shared" si="69"/>
        <v>0</v>
      </c>
      <c r="AG341" s="52">
        <v>8567</v>
      </c>
      <c r="AH341" s="52">
        <v>8646</v>
      </c>
      <c r="AI341" s="52">
        <v>1</v>
      </c>
      <c r="AJ341" s="53" t="s">
        <v>823</v>
      </c>
    </row>
    <row r="342" spans="1:36" ht="15.75" hidden="1" x14ac:dyDescent="0.25">
      <c r="A342" s="33" t="s">
        <v>824</v>
      </c>
      <c r="B342" s="34">
        <v>8653</v>
      </c>
      <c r="C342" s="34"/>
      <c r="D342" s="35">
        <v>86</v>
      </c>
      <c r="E342" s="36" t="str">
        <f t="shared" si="66"/>
        <v/>
      </c>
      <c r="F342" s="37" t="str">
        <f t="shared" si="67"/>
        <v/>
      </c>
      <c r="G342" s="38">
        <f t="shared" si="70"/>
        <v>0</v>
      </c>
      <c r="H342" s="38">
        <f t="shared" si="70"/>
        <v>0</v>
      </c>
      <c r="I342" s="39">
        <v>0</v>
      </c>
      <c r="J342" s="116">
        <f t="shared" si="77"/>
        <v>0</v>
      </c>
      <c r="K342" s="117">
        <v>0</v>
      </c>
      <c r="L342" s="118">
        <v>0.97399999999999998</v>
      </c>
      <c r="M342" s="39">
        <f t="shared" si="71"/>
        <v>0</v>
      </c>
      <c r="N342" s="116">
        <f t="shared" si="72"/>
        <v>0</v>
      </c>
      <c r="O342" s="43"/>
      <c r="P342" s="119"/>
      <c r="Q342" s="120"/>
      <c r="R342" s="121"/>
      <c r="S342" s="122"/>
      <c r="T342" s="34">
        <f t="shared" si="65"/>
        <v>0</v>
      </c>
      <c r="U342" s="34">
        <f t="shared" si="73"/>
        <v>0</v>
      </c>
      <c r="V342" s="34">
        <f t="shared" si="74"/>
        <v>0</v>
      </c>
      <c r="W342" s="34">
        <f t="shared" si="75"/>
        <v>0</v>
      </c>
      <c r="X342" s="48" t="s">
        <v>387</v>
      </c>
      <c r="Y342" s="48" t="s">
        <v>365</v>
      </c>
      <c r="Z342" s="49" t="s">
        <v>548</v>
      </c>
      <c r="AA342" s="49"/>
      <c r="AB342" s="33" t="s">
        <v>805</v>
      </c>
      <c r="AC342" s="33"/>
      <c r="AD342" s="50">
        <f t="shared" si="76"/>
        <v>0</v>
      </c>
      <c r="AE342" s="51">
        <f t="shared" si="68"/>
        <v>0</v>
      </c>
      <c r="AF342" s="51">
        <f t="shared" si="69"/>
        <v>0</v>
      </c>
      <c r="AG342" s="52">
        <v>8567</v>
      </c>
      <c r="AH342" s="52">
        <v>8653</v>
      </c>
      <c r="AI342" s="52">
        <v>1</v>
      </c>
      <c r="AJ342" s="53" t="s">
        <v>825</v>
      </c>
    </row>
    <row r="343" spans="1:36" ht="15.75" hidden="1" x14ac:dyDescent="0.25">
      <c r="A343" s="33" t="s">
        <v>826</v>
      </c>
      <c r="B343" s="34">
        <v>8611</v>
      </c>
      <c r="C343" s="34"/>
      <c r="D343" s="35">
        <v>85</v>
      </c>
      <c r="E343" s="36" t="str">
        <f t="shared" si="66"/>
        <v/>
      </c>
      <c r="F343" s="37" t="str">
        <f t="shared" si="67"/>
        <v/>
      </c>
      <c r="G343" s="38">
        <f t="shared" si="70"/>
        <v>0</v>
      </c>
      <c r="H343" s="38">
        <f t="shared" si="70"/>
        <v>0</v>
      </c>
      <c r="I343" s="39">
        <v>28</v>
      </c>
      <c r="J343" s="116">
        <f t="shared" si="77"/>
        <v>0.32941176470588235</v>
      </c>
      <c r="K343" s="117">
        <v>-1.83</v>
      </c>
      <c r="L343" s="118">
        <v>1</v>
      </c>
      <c r="M343" s="39">
        <f t="shared" si="71"/>
        <v>28</v>
      </c>
      <c r="N343" s="116">
        <f t="shared" si="72"/>
        <v>0.32941176470588235</v>
      </c>
      <c r="O343" s="43"/>
      <c r="P343" s="119"/>
      <c r="Q343" s="120"/>
      <c r="R343" s="121"/>
      <c r="S343" s="122"/>
      <c r="T343" s="34">
        <f t="shared" si="65"/>
        <v>0</v>
      </c>
      <c r="U343" s="34">
        <f t="shared" si="73"/>
        <v>0</v>
      </c>
      <c r="V343" s="34">
        <f t="shared" si="74"/>
        <v>0</v>
      </c>
      <c r="W343" s="34">
        <f t="shared" si="75"/>
        <v>0</v>
      </c>
      <c r="X343" s="48" t="s">
        <v>387</v>
      </c>
      <c r="Y343" s="48" t="s">
        <v>365</v>
      </c>
      <c r="Z343" s="49" t="s">
        <v>548</v>
      </c>
      <c r="AA343" s="49"/>
      <c r="AB343" s="33" t="s">
        <v>805</v>
      </c>
      <c r="AC343" s="33"/>
      <c r="AD343" s="50">
        <f t="shared" si="76"/>
        <v>0.32941176470588235</v>
      </c>
      <c r="AE343" s="51">
        <f t="shared" si="68"/>
        <v>0</v>
      </c>
      <c r="AF343" s="51">
        <f t="shared" si="69"/>
        <v>0</v>
      </c>
      <c r="AG343" s="52">
        <v>8551</v>
      </c>
      <c r="AH343" s="52">
        <v>8611</v>
      </c>
      <c r="AI343" s="52">
        <v>1</v>
      </c>
      <c r="AJ343" s="53" t="s">
        <v>827</v>
      </c>
    </row>
    <row r="344" spans="1:36" ht="15.75" hidden="1" x14ac:dyDescent="0.25">
      <c r="A344" s="33" t="s">
        <v>828</v>
      </c>
      <c r="B344" s="34">
        <v>8616</v>
      </c>
      <c r="C344" s="34"/>
      <c r="D344" s="35">
        <v>39</v>
      </c>
      <c r="E344" s="36" t="str">
        <f t="shared" si="66"/>
        <v/>
      </c>
      <c r="F344" s="37" t="str">
        <f t="shared" si="67"/>
        <v/>
      </c>
      <c r="G344" s="38">
        <f t="shared" si="70"/>
        <v>0</v>
      </c>
      <c r="H344" s="38">
        <f t="shared" si="70"/>
        <v>0</v>
      </c>
      <c r="I344" s="39">
        <v>29</v>
      </c>
      <c r="J344" s="116">
        <f t="shared" si="77"/>
        <v>0.74358974358974361</v>
      </c>
      <c r="K344" s="117">
        <v>6.069</v>
      </c>
      <c r="L344" s="118">
        <v>0.98399999999999999</v>
      </c>
      <c r="M344" s="39">
        <f t="shared" si="71"/>
        <v>29</v>
      </c>
      <c r="N344" s="116">
        <f t="shared" si="72"/>
        <v>0.74358974358974361</v>
      </c>
      <c r="O344" s="43"/>
      <c r="P344" s="119"/>
      <c r="Q344" s="120"/>
      <c r="R344" s="121"/>
      <c r="S344" s="122"/>
      <c r="T344" s="34">
        <f t="shared" si="65"/>
        <v>0</v>
      </c>
      <c r="U344" s="34">
        <f t="shared" si="73"/>
        <v>0</v>
      </c>
      <c r="V344" s="34">
        <f t="shared" si="74"/>
        <v>0</v>
      </c>
      <c r="W344" s="34">
        <f t="shared" si="75"/>
        <v>0</v>
      </c>
      <c r="X344" s="48" t="s">
        <v>387</v>
      </c>
      <c r="Y344" s="48" t="s">
        <v>365</v>
      </c>
      <c r="Z344" s="49" t="s">
        <v>548</v>
      </c>
      <c r="AA344" s="49"/>
      <c r="AB344" s="33" t="s">
        <v>805</v>
      </c>
      <c r="AC344" s="33"/>
      <c r="AD344" s="50">
        <f t="shared" si="76"/>
        <v>0.74358974358974361</v>
      </c>
      <c r="AE344" s="51">
        <f t="shared" si="68"/>
        <v>0</v>
      </c>
      <c r="AF344" s="51">
        <f t="shared" si="69"/>
        <v>0</v>
      </c>
      <c r="AG344" s="52">
        <v>8569</v>
      </c>
      <c r="AH344" s="52">
        <v>8616</v>
      </c>
      <c r="AI344" s="52">
        <v>1</v>
      </c>
      <c r="AJ344" s="53" t="s">
        <v>829</v>
      </c>
    </row>
    <row r="345" spans="1:36" ht="15.75" hidden="1" x14ac:dyDescent="0.25">
      <c r="A345" s="33" t="s">
        <v>828</v>
      </c>
      <c r="B345" s="34">
        <v>8612</v>
      </c>
      <c r="C345" s="34"/>
      <c r="D345" s="35">
        <v>36</v>
      </c>
      <c r="E345" s="36" t="str">
        <f t="shared" si="66"/>
        <v/>
      </c>
      <c r="F345" s="37" t="str">
        <f t="shared" si="67"/>
        <v/>
      </c>
      <c r="G345" s="38">
        <f t="shared" si="70"/>
        <v>0</v>
      </c>
      <c r="H345" s="38">
        <f t="shared" si="70"/>
        <v>0</v>
      </c>
      <c r="I345" s="39">
        <v>0</v>
      </c>
      <c r="J345" s="116">
        <f t="shared" si="77"/>
        <v>0</v>
      </c>
      <c r="K345" s="117">
        <v>0</v>
      </c>
      <c r="L345" s="118">
        <v>0.97699999999999998</v>
      </c>
      <c r="M345" s="39">
        <f t="shared" si="71"/>
        <v>0</v>
      </c>
      <c r="N345" s="116">
        <f t="shared" si="72"/>
        <v>0</v>
      </c>
      <c r="O345" s="43"/>
      <c r="P345" s="119"/>
      <c r="Q345" s="120"/>
      <c r="R345" s="121"/>
      <c r="S345" s="122"/>
      <c r="T345" s="34">
        <f t="shared" si="65"/>
        <v>0</v>
      </c>
      <c r="U345" s="34">
        <f t="shared" si="73"/>
        <v>0</v>
      </c>
      <c r="V345" s="34">
        <f t="shared" si="74"/>
        <v>0</v>
      </c>
      <c r="W345" s="34">
        <f t="shared" si="75"/>
        <v>0</v>
      </c>
      <c r="X345" s="48" t="s">
        <v>387</v>
      </c>
      <c r="Y345" s="48" t="s">
        <v>365</v>
      </c>
      <c r="Z345" s="49" t="s">
        <v>548</v>
      </c>
      <c r="AA345" s="49"/>
      <c r="AB345" s="33" t="s">
        <v>805</v>
      </c>
      <c r="AC345" s="33"/>
      <c r="AD345" s="50">
        <f t="shared" si="76"/>
        <v>0</v>
      </c>
      <c r="AE345" s="51">
        <f t="shared" si="68"/>
        <v>0</v>
      </c>
      <c r="AF345" s="51">
        <f t="shared" si="69"/>
        <v>0</v>
      </c>
      <c r="AG345" s="52">
        <v>8569</v>
      </c>
      <c r="AH345" s="52">
        <v>8612</v>
      </c>
      <c r="AI345" s="52">
        <v>1</v>
      </c>
      <c r="AJ345" s="53" t="s">
        <v>830</v>
      </c>
    </row>
    <row r="346" spans="1:36" ht="15.75" hidden="1" x14ac:dyDescent="0.25">
      <c r="A346" s="33" t="s">
        <v>831</v>
      </c>
      <c r="B346" s="34">
        <v>8615</v>
      </c>
      <c r="C346" s="34"/>
      <c r="D346" s="35">
        <v>39</v>
      </c>
      <c r="E346" s="36" t="str">
        <f t="shared" si="66"/>
        <v/>
      </c>
      <c r="F346" s="37" t="str">
        <f t="shared" si="67"/>
        <v/>
      </c>
      <c r="G346" s="38">
        <f t="shared" si="70"/>
        <v>0</v>
      </c>
      <c r="H346" s="38">
        <f t="shared" si="70"/>
        <v>0</v>
      </c>
      <c r="I346" s="39">
        <v>33</v>
      </c>
      <c r="J346" s="116">
        <f t="shared" si="77"/>
        <v>0.84615384615384615</v>
      </c>
      <c r="K346" s="117">
        <v>6.6429999999999998</v>
      </c>
      <c r="L346" s="118">
        <v>0.96299999999999997</v>
      </c>
      <c r="M346" s="39">
        <f t="shared" si="71"/>
        <v>33</v>
      </c>
      <c r="N346" s="116">
        <f t="shared" si="72"/>
        <v>0.84615384615384615</v>
      </c>
      <c r="O346" s="43"/>
      <c r="P346" s="119"/>
      <c r="Q346" s="120"/>
      <c r="R346" s="121"/>
      <c r="S346" s="122"/>
      <c r="T346" s="34">
        <f t="shared" si="65"/>
        <v>0</v>
      </c>
      <c r="U346" s="34">
        <f t="shared" si="73"/>
        <v>0</v>
      </c>
      <c r="V346" s="34">
        <f t="shared" si="74"/>
        <v>0</v>
      </c>
      <c r="W346" s="34">
        <f t="shared" si="75"/>
        <v>0</v>
      </c>
      <c r="X346" s="48" t="s">
        <v>387</v>
      </c>
      <c r="Y346" s="48" t="s">
        <v>365</v>
      </c>
      <c r="Z346" s="49" t="s">
        <v>548</v>
      </c>
      <c r="AA346" s="49"/>
      <c r="AB346" s="33" t="s">
        <v>805</v>
      </c>
      <c r="AC346" s="33"/>
      <c r="AD346" s="50">
        <f t="shared" si="76"/>
        <v>0.84615384615384615</v>
      </c>
      <c r="AE346" s="51">
        <f t="shared" si="68"/>
        <v>0</v>
      </c>
      <c r="AF346" s="51">
        <f t="shared" si="69"/>
        <v>0</v>
      </c>
      <c r="AG346" s="52">
        <v>8543</v>
      </c>
      <c r="AH346" s="52">
        <v>8615</v>
      </c>
      <c r="AI346" s="52">
        <v>1</v>
      </c>
      <c r="AJ346" s="53" t="s">
        <v>832</v>
      </c>
    </row>
    <row r="347" spans="1:36" ht="15.75" hidden="1" x14ac:dyDescent="0.25">
      <c r="A347" s="33" t="s">
        <v>831</v>
      </c>
      <c r="B347" s="34">
        <v>8617</v>
      </c>
      <c r="C347" s="34"/>
      <c r="D347" s="35">
        <v>36</v>
      </c>
      <c r="E347" s="36" t="str">
        <f t="shared" si="66"/>
        <v/>
      </c>
      <c r="F347" s="37" t="str">
        <f t="shared" si="67"/>
        <v/>
      </c>
      <c r="G347" s="38">
        <f t="shared" si="70"/>
        <v>0</v>
      </c>
      <c r="H347" s="38">
        <f t="shared" si="70"/>
        <v>0</v>
      </c>
      <c r="I347" s="39">
        <v>0</v>
      </c>
      <c r="J347" s="116">
        <f t="shared" si="77"/>
        <v>0</v>
      </c>
      <c r="K347" s="117">
        <v>0</v>
      </c>
      <c r="L347" s="118">
        <v>0.95499999999999996</v>
      </c>
      <c r="M347" s="39">
        <f t="shared" si="71"/>
        <v>0</v>
      </c>
      <c r="N347" s="116">
        <f t="shared" si="72"/>
        <v>0</v>
      </c>
      <c r="O347" s="43"/>
      <c r="P347" s="119"/>
      <c r="Q347" s="120"/>
      <c r="R347" s="121"/>
      <c r="S347" s="122"/>
      <c r="T347" s="34">
        <f t="shared" si="65"/>
        <v>0</v>
      </c>
      <c r="U347" s="34">
        <f t="shared" si="73"/>
        <v>0</v>
      </c>
      <c r="V347" s="34">
        <f t="shared" si="74"/>
        <v>0</v>
      </c>
      <c r="W347" s="34">
        <f t="shared" si="75"/>
        <v>0</v>
      </c>
      <c r="X347" s="48" t="s">
        <v>387</v>
      </c>
      <c r="Y347" s="48" t="s">
        <v>365</v>
      </c>
      <c r="Z347" s="49" t="s">
        <v>548</v>
      </c>
      <c r="AA347" s="49"/>
      <c r="AB347" s="33" t="s">
        <v>805</v>
      </c>
      <c r="AC347" s="33"/>
      <c r="AD347" s="50">
        <f t="shared" si="76"/>
        <v>0</v>
      </c>
      <c r="AE347" s="51">
        <f t="shared" si="68"/>
        <v>0</v>
      </c>
      <c r="AF347" s="51">
        <f t="shared" si="69"/>
        <v>0</v>
      </c>
      <c r="AG347" s="52">
        <v>8543</v>
      </c>
      <c r="AH347" s="52">
        <v>8617</v>
      </c>
      <c r="AI347" s="52">
        <v>1</v>
      </c>
      <c r="AJ347" s="53" t="s">
        <v>833</v>
      </c>
    </row>
    <row r="348" spans="1:36" ht="15.75" hidden="1" x14ac:dyDescent="0.25">
      <c r="A348" s="33" t="s">
        <v>834</v>
      </c>
      <c r="B348" s="34">
        <v>8609</v>
      </c>
      <c r="C348" s="34"/>
      <c r="D348" s="35">
        <v>91</v>
      </c>
      <c r="E348" s="36" t="str">
        <f t="shared" si="66"/>
        <v/>
      </c>
      <c r="F348" s="37" t="str">
        <f t="shared" si="67"/>
        <v/>
      </c>
      <c r="G348" s="38">
        <f t="shared" si="70"/>
        <v>0</v>
      </c>
      <c r="H348" s="38">
        <f t="shared" si="70"/>
        <v>0</v>
      </c>
      <c r="I348" s="39">
        <v>35</v>
      </c>
      <c r="J348" s="116">
        <f t="shared" si="77"/>
        <v>0.38461538461538464</v>
      </c>
      <c r="K348" s="117">
        <v>2.2320000000000002</v>
      </c>
      <c r="L348" s="118">
        <v>0.98099999999999998</v>
      </c>
      <c r="M348" s="39">
        <f t="shared" si="71"/>
        <v>35</v>
      </c>
      <c r="N348" s="116">
        <f t="shared" si="72"/>
        <v>0.38461538461538464</v>
      </c>
      <c r="O348" s="43"/>
      <c r="P348" s="119"/>
      <c r="Q348" s="120"/>
      <c r="R348" s="121"/>
      <c r="S348" s="122"/>
      <c r="T348" s="34">
        <f t="shared" si="65"/>
        <v>0</v>
      </c>
      <c r="U348" s="34">
        <f t="shared" si="73"/>
        <v>0</v>
      </c>
      <c r="V348" s="34">
        <f t="shared" si="74"/>
        <v>0</v>
      </c>
      <c r="W348" s="34">
        <f t="shared" si="75"/>
        <v>0</v>
      </c>
      <c r="X348" s="48" t="s">
        <v>387</v>
      </c>
      <c r="Y348" s="48" t="s">
        <v>365</v>
      </c>
      <c r="Z348" s="49" t="s">
        <v>548</v>
      </c>
      <c r="AA348" s="49"/>
      <c r="AB348" s="33" t="s">
        <v>805</v>
      </c>
      <c r="AC348" s="33"/>
      <c r="AD348" s="50">
        <f t="shared" si="76"/>
        <v>0.38461538461538464</v>
      </c>
      <c r="AE348" s="51">
        <f t="shared" si="68"/>
        <v>0</v>
      </c>
      <c r="AF348" s="51">
        <f t="shared" si="69"/>
        <v>0</v>
      </c>
      <c r="AG348" s="52">
        <v>8548</v>
      </c>
      <c r="AH348" s="52">
        <v>8609</v>
      </c>
      <c r="AI348" s="52">
        <v>1</v>
      </c>
      <c r="AJ348" s="53" t="s">
        <v>835</v>
      </c>
    </row>
    <row r="349" spans="1:36" ht="15.75" hidden="1" x14ac:dyDescent="0.25">
      <c r="A349" s="33" t="s">
        <v>836</v>
      </c>
      <c r="B349" s="34">
        <v>8610</v>
      </c>
      <c r="C349" s="34"/>
      <c r="D349" s="35">
        <v>85</v>
      </c>
      <c r="E349" s="36" t="str">
        <f t="shared" si="66"/>
        <v/>
      </c>
      <c r="F349" s="37" t="str">
        <f t="shared" si="67"/>
        <v/>
      </c>
      <c r="G349" s="38">
        <f t="shared" si="70"/>
        <v>0</v>
      </c>
      <c r="H349" s="38">
        <f t="shared" si="70"/>
        <v>0</v>
      </c>
      <c r="I349" s="39">
        <v>35</v>
      </c>
      <c r="J349" s="116">
        <f t="shared" si="77"/>
        <v>0.41176470588235292</v>
      </c>
      <c r="K349" s="117">
        <v>13.96</v>
      </c>
      <c r="L349" s="118">
        <v>0.97899999999999998</v>
      </c>
      <c r="M349" s="39">
        <f t="shared" si="71"/>
        <v>35</v>
      </c>
      <c r="N349" s="116">
        <f t="shared" si="72"/>
        <v>0.41176470588235292</v>
      </c>
      <c r="O349" s="43"/>
      <c r="P349" s="119"/>
      <c r="Q349" s="120"/>
      <c r="R349" s="121"/>
      <c r="S349" s="122"/>
      <c r="T349" s="34">
        <f t="shared" si="65"/>
        <v>0</v>
      </c>
      <c r="U349" s="34">
        <f t="shared" si="73"/>
        <v>0</v>
      </c>
      <c r="V349" s="34">
        <f t="shared" si="74"/>
        <v>0</v>
      </c>
      <c r="W349" s="34">
        <f t="shared" si="75"/>
        <v>0</v>
      </c>
      <c r="X349" s="48" t="s">
        <v>387</v>
      </c>
      <c r="Y349" s="48" t="s">
        <v>365</v>
      </c>
      <c r="Z349" s="49" t="s">
        <v>548</v>
      </c>
      <c r="AA349" s="49"/>
      <c r="AB349" s="33" t="s">
        <v>805</v>
      </c>
      <c r="AC349" s="33"/>
      <c r="AD349" s="50">
        <f t="shared" si="76"/>
        <v>0.41176470588235292</v>
      </c>
      <c r="AE349" s="51">
        <f t="shared" si="68"/>
        <v>0</v>
      </c>
      <c r="AF349" s="51">
        <f t="shared" si="69"/>
        <v>0</v>
      </c>
      <c r="AG349" s="52">
        <v>8546</v>
      </c>
      <c r="AH349" s="52">
        <v>8610</v>
      </c>
      <c r="AI349" s="52">
        <v>1</v>
      </c>
      <c r="AJ349" s="53" t="s">
        <v>837</v>
      </c>
    </row>
    <row r="350" spans="1:36" ht="15.75" hidden="1" x14ac:dyDescent="0.25">
      <c r="A350" s="33" t="s">
        <v>838</v>
      </c>
      <c r="B350" s="34">
        <v>8595</v>
      </c>
      <c r="C350" s="34"/>
      <c r="D350" s="35" t="s">
        <v>839</v>
      </c>
      <c r="E350" s="36" t="str">
        <f t="shared" si="66"/>
        <v/>
      </c>
      <c r="F350" s="37" t="str">
        <f t="shared" si="67"/>
        <v/>
      </c>
      <c r="G350" s="38">
        <f t="shared" si="70"/>
        <v>0</v>
      </c>
      <c r="H350" s="38">
        <f t="shared" si="70"/>
        <v>0</v>
      </c>
      <c r="I350" s="39"/>
      <c r="J350" s="116" t="str">
        <f t="shared" si="77"/>
        <v>-</v>
      </c>
      <c r="K350" s="117"/>
      <c r="L350" s="118"/>
      <c r="M350" s="39">
        <f t="shared" si="71"/>
        <v>0</v>
      </c>
      <c r="N350" s="116">
        <f t="shared" si="72"/>
        <v>0</v>
      </c>
      <c r="O350" s="43"/>
      <c r="P350" s="119"/>
      <c r="Q350" s="120"/>
      <c r="R350" s="121"/>
      <c r="S350" s="122"/>
      <c r="T350" s="34">
        <f t="shared" si="65"/>
        <v>0</v>
      </c>
      <c r="U350" s="34">
        <f t="shared" si="73"/>
        <v>0</v>
      </c>
      <c r="V350" s="34">
        <f t="shared" si="74"/>
        <v>0</v>
      </c>
      <c r="W350" s="34">
        <f t="shared" si="75"/>
        <v>0</v>
      </c>
      <c r="X350" s="48" t="s">
        <v>387</v>
      </c>
      <c r="Y350" s="48" t="s">
        <v>365</v>
      </c>
      <c r="Z350" s="49" t="s">
        <v>548</v>
      </c>
      <c r="AA350" s="49"/>
      <c r="AB350" s="33" t="s">
        <v>805</v>
      </c>
      <c r="AC350" s="33"/>
      <c r="AD350" s="50">
        <f t="shared" si="76"/>
        <v>0</v>
      </c>
      <c r="AE350" s="51">
        <f t="shared" si="68"/>
        <v>0</v>
      </c>
      <c r="AF350" s="51">
        <f t="shared" si="69"/>
        <v>0</v>
      </c>
      <c r="AG350" s="52" t="s">
        <v>134</v>
      </c>
      <c r="AH350" s="52" t="s">
        <v>134</v>
      </c>
      <c r="AI350" s="52" t="s">
        <v>134</v>
      </c>
      <c r="AJ350" s="53" t="s">
        <v>134</v>
      </c>
    </row>
    <row r="351" spans="1:36" ht="15.75" hidden="1" x14ac:dyDescent="0.25">
      <c r="A351" s="33" t="s">
        <v>840</v>
      </c>
      <c r="B351" s="34">
        <v>8592</v>
      </c>
      <c r="C351" s="34"/>
      <c r="D351" s="35" t="s">
        <v>841</v>
      </c>
      <c r="E351" s="36" t="str">
        <f t="shared" si="66"/>
        <v/>
      </c>
      <c r="F351" s="37" t="str">
        <f t="shared" si="67"/>
        <v/>
      </c>
      <c r="G351" s="38">
        <f t="shared" si="70"/>
        <v>0</v>
      </c>
      <c r="H351" s="38">
        <f t="shared" si="70"/>
        <v>0</v>
      </c>
      <c r="I351" s="39"/>
      <c r="J351" s="116" t="str">
        <f t="shared" si="77"/>
        <v>-</v>
      </c>
      <c r="K351" s="117"/>
      <c r="L351" s="118"/>
      <c r="M351" s="39">
        <f t="shared" si="71"/>
        <v>0</v>
      </c>
      <c r="N351" s="116">
        <f t="shared" si="72"/>
        <v>0</v>
      </c>
      <c r="O351" s="43"/>
      <c r="P351" s="119"/>
      <c r="Q351" s="120"/>
      <c r="R351" s="121"/>
      <c r="S351" s="122"/>
      <c r="T351" s="34">
        <f t="shared" si="65"/>
        <v>0</v>
      </c>
      <c r="U351" s="34">
        <f t="shared" si="73"/>
        <v>0</v>
      </c>
      <c r="V351" s="34">
        <f t="shared" si="74"/>
        <v>0</v>
      </c>
      <c r="W351" s="34">
        <f t="shared" si="75"/>
        <v>0</v>
      </c>
      <c r="X351" s="48" t="s">
        <v>387</v>
      </c>
      <c r="Y351" s="48" t="s">
        <v>365</v>
      </c>
      <c r="Z351" s="49" t="s">
        <v>647</v>
      </c>
      <c r="AA351" s="49"/>
      <c r="AB351" s="33" t="s">
        <v>805</v>
      </c>
      <c r="AC351" s="33"/>
      <c r="AD351" s="50">
        <f t="shared" si="76"/>
        <v>0</v>
      </c>
      <c r="AE351" s="51">
        <f t="shared" si="68"/>
        <v>0</v>
      </c>
      <c r="AF351" s="51">
        <f t="shared" si="69"/>
        <v>0</v>
      </c>
      <c r="AG351" s="52" t="s">
        <v>134</v>
      </c>
      <c r="AH351" s="52" t="s">
        <v>134</v>
      </c>
      <c r="AI351" s="52" t="s">
        <v>134</v>
      </c>
      <c r="AJ351" s="53" t="s">
        <v>134</v>
      </c>
    </row>
    <row r="352" spans="1:36" ht="15.75" hidden="1" x14ac:dyDescent="0.25">
      <c r="A352" s="33" t="s">
        <v>840</v>
      </c>
      <c r="B352" s="34">
        <v>8594</v>
      </c>
      <c r="C352" s="34"/>
      <c r="D352" s="35" t="s">
        <v>842</v>
      </c>
      <c r="E352" s="36" t="str">
        <f t="shared" si="66"/>
        <v/>
      </c>
      <c r="F352" s="37" t="str">
        <f t="shared" si="67"/>
        <v/>
      </c>
      <c r="G352" s="38">
        <f t="shared" si="70"/>
        <v>0</v>
      </c>
      <c r="H352" s="38">
        <f t="shared" si="70"/>
        <v>0</v>
      </c>
      <c r="I352" s="39"/>
      <c r="J352" s="116" t="str">
        <f t="shared" si="77"/>
        <v>-</v>
      </c>
      <c r="K352" s="117"/>
      <c r="L352" s="118"/>
      <c r="M352" s="39">
        <f t="shared" si="71"/>
        <v>0</v>
      </c>
      <c r="N352" s="116">
        <f t="shared" si="72"/>
        <v>0</v>
      </c>
      <c r="O352" s="43"/>
      <c r="P352" s="119"/>
      <c r="Q352" s="120"/>
      <c r="R352" s="121"/>
      <c r="S352" s="122"/>
      <c r="T352" s="34">
        <f t="shared" si="65"/>
        <v>0</v>
      </c>
      <c r="U352" s="34">
        <f t="shared" si="73"/>
        <v>0</v>
      </c>
      <c r="V352" s="34">
        <f t="shared" si="74"/>
        <v>0</v>
      </c>
      <c r="W352" s="34">
        <f t="shared" si="75"/>
        <v>0</v>
      </c>
      <c r="X352" s="48" t="s">
        <v>387</v>
      </c>
      <c r="Y352" s="48" t="s">
        <v>365</v>
      </c>
      <c r="Z352" s="49" t="s">
        <v>647</v>
      </c>
      <c r="AA352" s="49"/>
      <c r="AB352" s="33" t="s">
        <v>805</v>
      </c>
      <c r="AC352" s="33"/>
      <c r="AD352" s="50">
        <f t="shared" si="76"/>
        <v>0</v>
      </c>
      <c r="AE352" s="51">
        <f t="shared" si="68"/>
        <v>0</v>
      </c>
      <c r="AF352" s="51">
        <f t="shared" si="69"/>
        <v>0</v>
      </c>
      <c r="AG352" s="52" t="s">
        <v>134</v>
      </c>
      <c r="AH352" s="52" t="s">
        <v>134</v>
      </c>
      <c r="AI352" s="52" t="s">
        <v>134</v>
      </c>
      <c r="AJ352" s="53" t="s">
        <v>134</v>
      </c>
    </row>
    <row r="353" spans="1:36" ht="15.75" hidden="1" x14ac:dyDescent="0.25">
      <c r="A353" s="58" t="s">
        <v>843</v>
      </c>
      <c r="B353" s="59">
        <v>8580</v>
      </c>
      <c r="C353" s="59"/>
      <c r="D353" s="82">
        <v>25</v>
      </c>
      <c r="E353" s="36" t="str">
        <f t="shared" si="66"/>
        <v/>
      </c>
      <c r="F353" s="37" t="str">
        <f t="shared" si="67"/>
        <v/>
      </c>
      <c r="G353" s="38">
        <f t="shared" si="70"/>
        <v>0</v>
      </c>
      <c r="H353" s="38">
        <f t="shared" si="70"/>
        <v>0</v>
      </c>
      <c r="I353" s="39">
        <v>5.9</v>
      </c>
      <c r="J353" s="116">
        <f t="shared" si="77"/>
        <v>0.23600000000000002</v>
      </c>
      <c r="K353" s="117">
        <v>0</v>
      </c>
      <c r="L353" s="118">
        <v>0.99</v>
      </c>
      <c r="M353" s="39">
        <f t="shared" si="71"/>
        <v>5.9</v>
      </c>
      <c r="N353" s="116">
        <f t="shared" si="72"/>
        <v>0.23600000000000002</v>
      </c>
      <c r="O353" s="43"/>
      <c r="P353" s="119"/>
      <c r="Q353" s="120"/>
      <c r="R353" s="121"/>
      <c r="S353" s="122"/>
      <c r="T353" s="34">
        <f t="shared" si="65"/>
        <v>0</v>
      </c>
      <c r="U353" s="34">
        <f t="shared" si="73"/>
        <v>0</v>
      </c>
      <c r="V353" s="34">
        <f t="shared" si="74"/>
        <v>0</v>
      </c>
      <c r="W353" s="34">
        <f t="shared" si="75"/>
        <v>0</v>
      </c>
      <c r="X353" s="48" t="s">
        <v>387</v>
      </c>
      <c r="Y353" s="48" t="s">
        <v>365</v>
      </c>
      <c r="Z353" s="49" t="s">
        <v>647</v>
      </c>
      <c r="AA353" s="49"/>
      <c r="AB353" s="33" t="s">
        <v>805</v>
      </c>
      <c r="AC353" s="33"/>
      <c r="AD353" s="50">
        <f t="shared" si="76"/>
        <v>0.23600000000000002</v>
      </c>
      <c r="AE353" s="51">
        <f t="shared" si="68"/>
        <v>0</v>
      </c>
      <c r="AF353" s="51">
        <f t="shared" si="69"/>
        <v>0</v>
      </c>
      <c r="AG353" s="52">
        <v>8568</v>
      </c>
      <c r="AH353" s="52">
        <v>8580</v>
      </c>
      <c r="AI353" s="52">
        <v>1</v>
      </c>
      <c r="AJ353" s="53" t="s">
        <v>844</v>
      </c>
    </row>
    <row r="354" spans="1:36" ht="15.75" hidden="1" x14ac:dyDescent="0.25">
      <c r="A354" s="58" t="s">
        <v>845</v>
      </c>
      <c r="B354" s="59">
        <v>8524</v>
      </c>
      <c r="C354" s="59"/>
      <c r="D354" s="82">
        <v>80</v>
      </c>
      <c r="E354" s="36" t="str">
        <f t="shared" si="66"/>
        <v/>
      </c>
      <c r="F354" s="37" t="str">
        <f t="shared" si="67"/>
        <v/>
      </c>
      <c r="G354" s="38">
        <f t="shared" si="70"/>
        <v>0</v>
      </c>
      <c r="H354" s="38">
        <f t="shared" si="70"/>
        <v>0</v>
      </c>
      <c r="I354" s="39">
        <v>9.6</v>
      </c>
      <c r="J354" s="116">
        <f t="shared" si="77"/>
        <v>0.12</v>
      </c>
      <c r="K354" s="117">
        <v>0</v>
      </c>
      <c r="L354" s="118">
        <v>0.995</v>
      </c>
      <c r="M354" s="39">
        <f t="shared" si="71"/>
        <v>9.6</v>
      </c>
      <c r="N354" s="116">
        <f t="shared" si="72"/>
        <v>0.12</v>
      </c>
      <c r="O354" s="43"/>
      <c r="P354" s="119"/>
      <c r="Q354" s="120"/>
      <c r="R354" s="121"/>
      <c r="S354" s="122"/>
      <c r="T354" s="34">
        <f t="shared" si="65"/>
        <v>0</v>
      </c>
      <c r="U354" s="34">
        <f t="shared" si="73"/>
        <v>0</v>
      </c>
      <c r="V354" s="34">
        <f t="shared" si="74"/>
        <v>0</v>
      </c>
      <c r="W354" s="34">
        <f t="shared" si="75"/>
        <v>0</v>
      </c>
      <c r="X354" s="48" t="s">
        <v>387</v>
      </c>
      <c r="Y354" s="48" t="s">
        <v>365</v>
      </c>
      <c r="Z354" s="49" t="s">
        <v>647</v>
      </c>
      <c r="AA354" s="49"/>
      <c r="AB354" s="33" t="s">
        <v>805</v>
      </c>
      <c r="AC354" s="33"/>
      <c r="AD354" s="50">
        <f t="shared" si="76"/>
        <v>0.12</v>
      </c>
      <c r="AE354" s="51">
        <f t="shared" si="68"/>
        <v>0</v>
      </c>
      <c r="AF354" s="51">
        <f t="shared" si="69"/>
        <v>0</v>
      </c>
      <c r="AG354" s="52">
        <v>8524</v>
      </c>
      <c r="AH354" s="52">
        <v>8523</v>
      </c>
      <c r="AI354" s="52">
        <v>1</v>
      </c>
      <c r="AJ354" s="53" t="s">
        <v>846</v>
      </c>
    </row>
    <row r="355" spans="1:36" ht="15.75" hidden="1" x14ac:dyDescent="0.25">
      <c r="A355" s="58" t="s">
        <v>510</v>
      </c>
      <c r="B355" s="59">
        <v>8550</v>
      </c>
      <c r="C355" s="59"/>
      <c r="D355" s="82">
        <v>50</v>
      </c>
      <c r="E355" s="36" t="str">
        <f t="shared" si="66"/>
        <v/>
      </c>
      <c r="F355" s="37" t="str">
        <f t="shared" si="67"/>
        <v/>
      </c>
      <c r="G355" s="38">
        <f t="shared" si="70"/>
        <v>0</v>
      </c>
      <c r="H355" s="38">
        <f t="shared" si="70"/>
        <v>0</v>
      </c>
      <c r="I355" s="39">
        <v>4.2</v>
      </c>
      <c r="J355" s="116">
        <f t="shared" si="77"/>
        <v>8.4000000000000005E-2</v>
      </c>
      <c r="K355" s="117">
        <v>0</v>
      </c>
      <c r="L355" s="118">
        <v>1</v>
      </c>
      <c r="M355" s="39">
        <f t="shared" si="71"/>
        <v>4.2</v>
      </c>
      <c r="N355" s="116">
        <f t="shared" si="72"/>
        <v>8.4000000000000005E-2</v>
      </c>
      <c r="O355" s="43"/>
      <c r="P355" s="119"/>
      <c r="Q355" s="120"/>
      <c r="R355" s="121"/>
      <c r="S355" s="122"/>
      <c r="T355" s="34">
        <f t="shared" si="65"/>
        <v>0</v>
      </c>
      <c r="U355" s="34">
        <f t="shared" si="73"/>
        <v>0</v>
      </c>
      <c r="V355" s="34">
        <f t="shared" si="74"/>
        <v>0</v>
      </c>
      <c r="W355" s="34">
        <f t="shared" si="75"/>
        <v>0</v>
      </c>
      <c r="X355" s="48" t="s">
        <v>387</v>
      </c>
      <c r="Y355" s="48" t="s">
        <v>365</v>
      </c>
      <c r="Z355" s="49" t="s">
        <v>647</v>
      </c>
      <c r="AA355" s="49"/>
      <c r="AB355" s="33" t="s">
        <v>805</v>
      </c>
      <c r="AC355" s="33"/>
      <c r="AD355" s="50">
        <f t="shared" si="76"/>
        <v>8.4000000000000005E-2</v>
      </c>
      <c r="AE355" s="51">
        <f t="shared" si="68"/>
        <v>0</v>
      </c>
      <c r="AF355" s="51">
        <f t="shared" si="69"/>
        <v>0</v>
      </c>
      <c r="AG355" s="52">
        <v>8537</v>
      </c>
      <c r="AH355" s="52">
        <v>8550</v>
      </c>
      <c r="AI355" s="52">
        <v>1</v>
      </c>
      <c r="AJ355" s="53" t="s">
        <v>847</v>
      </c>
    </row>
    <row r="356" spans="1:36" ht="15.75" hidden="1" x14ac:dyDescent="0.25">
      <c r="A356" s="58" t="s">
        <v>848</v>
      </c>
      <c r="B356" s="59">
        <v>8235</v>
      </c>
      <c r="C356" s="59"/>
      <c r="D356" s="82" t="s">
        <v>849</v>
      </c>
      <c r="E356" s="36" t="str">
        <f t="shared" si="66"/>
        <v/>
      </c>
      <c r="F356" s="37" t="str">
        <f t="shared" si="67"/>
        <v/>
      </c>
      <c r="G356" s="63">
        <f t="shared" si="70"/>
        <v>0</v>
      </c>
      <c r="H356" s="63">
        <f t="shared" si="70"/>
        <v>0</v>
      </c>
      <c r="I356" s="64"/>
      <c r="J356" s="124" t="str">
        <f t="shared" si="77"/>
        <v>-</v>
      </c>
      <c r="K356" s="125"/>
      <c r="L356" s="126"/>
      <c r="M356" s="64">
        <f t="shared" si="71"/>
        <v>0</v>
      </c>
      <c r="N356" s="124">
        <f t="shared" si="72"/>
        <v>0</v>
      </c>
      <c r="O356" s="68"/>
      <c r="P356" s="127"/>
      <c r="Q356" s="128"/>
      <c r="R356" s="129"/>
      <c r="S356" s="130"/>
      <c r="T356" s="59">
        <f t="shared" si="65"/>
        <v>0</v>
      </c>
      <c r="U356" s="59">
        <f t="shared" si="73"/>
        <v>0</v>
      </c>
      <c r="V356" s="59">
        <f t="shared" si="74"/>
        <v>0</v>
      </c>
      <c r="W356" s="59">
        <f t="shared" si="75"/>
        <v>0</v>
      </c>
      <c r="X356" s="131" t="s">
        <v>395</v>
      </c>
      <c r="Y356" s="131" t="s">
        <v>365</v>
      </c>
      <c r="Z356" s="73" t="s">
        <v>647</v>
      </c>
      <c r="AA356" s="73"/>
      <c r="AB356" s="58" t="s">
        <v>850</v>
      </c>
      <c r="AC356" s="58"/>
      <c r="AD356" s="74">
        <f t="shared" si="76"/>
        <v>0</v>
      </c>
      <c r="AE356" s="75">
        <f t="shared" si="68"/>
        <v>0</v>
      </c>
      <c r="AF356" s="75">
        <f t="shared" si="69"/>
        <v>0</v>
      </c>
      <c r="AG356" s="76" t="s">
        <v>134</v>
      </c>
      <c r="AH356" s="76" t="s">
        <v>134</v>
      </c>
      <c r="AI356" s="76" t="s">
        <v>134</v>
      </c>
      <c r="AJ356" s="77" t="s">
        <v>134</v>
      </c>
    </row>
    <row r="357" spans="1:36" ht="15.75" hidden="1" x14ac:dyDescent="0.25">
      <c r="A357" s="58" t="s">
        <v>851</v>
      </c>
      <c r="B357" s="59">
        <v>8236</v>
      </c>
      <c r="C357" s="59"/>
      <c r="D357" s="82" t="s">
        <v>852</v>
      </c>
      <c r="E357" s="36" t="str">
        <f t="shared" si="66"/>
        <v/>
      </c>
      <c r="F357" s="37" t="str">
        <f t="shared" si="67"/>
        <v/>
      </c>
      <c r="G357" s="63">
        <f t="shared" si="70"/>
        <v>0</v>
      </c>
      <c r="H357" s="63">
        <f t="shared" si="70"/>
        <v>0</v>
      </c>
      <c r="I357" s="64"/>
      <c r="J357" s="124" t="str">
        <f t="shared" si="77"/>
        <v>-</v>
      </c>
      <c r="K357" s="125"/>
      <c r="L357" s="126"/>
      <c r="M357" s="64">
        <f t="shared" si="71"/>
        <v>0</v>
      </c>
      <c r="N357" s="124">
        <f t="shared" si="72"/>
        <v>0</v>
      </c>
      <c r="O357" s="68"/>
      <c r="P357" s="127"/>
      <c r="Q357" s="128"/>
      <c r="R357" s="129"/>
      <c r="S357" s="130"/>
      <c r="T357" s="59">
        <f t="shared" si="65"/>
        <v>0</v>
      </c>
      <c r="U357" s="59">
        <f t="shared" si="73"/>
        <v>0</v>
      </c>
      <c r="V357" s="59">
        <f t="shared" si="74"/>
        <v>0</v>
      </c>
      <c r="W357" s="59">
        <f t="shared" si="75"/>
        <v>0</v>
      </c>
      <c r="X357" s="131" t="s">
        <v>395</v>
      </c>
      <c r="Y357" s="131" t="s">
        <v>365</v>
      </c>
      <c r="Z357" s="73" t="s">
        <v>647</v>
      </c>
      <c r="AA357" s="73"/>
      <c r="AB357" s="58" t="s">
        <v>850</v>
      </c>
      <c r="AC357" s="58"/>
      <c r="AD357" s="74">
        <f t="shared" si="76"/>
        <v>0</v>
      </c>
      <c r="AE357" s="75">
        <f t="shared" si="68"/>
        <v>0</v>
      </c>
      <c r="AF357" s="75">
        <f t="shared" si="69"/>
        <v>0</v>
      </c>
      <c r="AG357" s="76" t="s">
        <v>134</v>
      </c>
      <c r="AH357" s="76" t="s">
        <v>134</v>
      </c>
      <c r="AI357" s="76" t="s">
        <v>134</v>
      </c>
      <c r="AJ357" s="77" t="s">
        <v>134</v>
      </c>
    </row>
    <row r="358" spans="1:36" ht="15.75" hidden="1" x14ac:dyDescent="0.25">
      <c r="A358" s="33" t="s">
        <v>853</v>
      </c>
      <c r="B358" s="34">
        <v>8874</v>
      </c>
      <c r="C358" s="34"/>
      <c r="D358" s="35">
        <v>48</v>
      </c>
      <c r="E358" s="36" t="str">
        <f t="shared" si="66"/>
        <v/>
      </c>
      <c r="F358" s="37" t="str">
        <f t="shared" si="67"/>
        <v/>
      </c>
      <c r="G358" s="38">
        <f t="shared" si="70"/>
        <v>0</v>
      </c>
      <c r="H358" s="38">
        <f t="shared" si="70"/>
        <v>0</v>
      </c>
      <c r="I358" s="39">
        <v>0</v>
      </c>
      <c r="J358" s="116">
        <f t="shared" si="77"/>
        <v>0</v>
      </c>
      <c r="K358" s="117">
        <v>0</v>
      </c>
      <c r="L358" s="118">
        <v>1.06</v>
      </c>
      <c r="M358" s="39">
        <f t="shared" si="71"/>
        <v>0</v>
      </c>
      <c r="N358" s="116">
        <f t="shared" si="72"/>
        <v>0</v>
      </c>
      <c r="O358" s="43"/>
      <c r="P358" s="119"/>
      <c r="Q358" s="120"/>
      <c r="R358" s="121"/>
      <c r="S358" s="122"/>
      <c r="T358" s="34">
        <f t="shared" si="65"/>
        <v>0</v>
      </c>
      <c r="U358" s="34">
        <f t="shared" si="73"/>
        <v>0</v>
      </c>
      <c r="V358" s="34">
        <f t="shared" si="74"/>
        <v>0</v>
      </c>
      <c r="W358" s="34">
        <f t="shared" si="75"/>
        <v>0</v>
      </c>
      <c r="X358" s="48" t="s">
        <v>854</v>
      </c>
      <c r="Y358" s="48" t="s">
        <v>855</v>
      </c>
      <c r="Z358" s="49" t="s">
        <v>548</v>
      </c>
      <c r="AA358" s="49"/>
      <c r="AB358" s="33" t="s">
        <v>856</v>
      </c>
      <c r="AC358" s="33"/>
      <c r="AD358" s="50">
        <f t="shared" si="76"/>
        <v>0</v>
      </c>
      <c r="AE358" s="51">
        <f t="shared" si="68"/>
        <v>0</v>
      </c>
      <c r="AF358" s="51">
        <f t="shared" si="69"/>
        <v>0</v>
      </c>
      <c r="AG358" s="52">
        <v>8883</v>
      </c>
      <c r="AH358" s="52">
        <v>8874</v>
      </c>
      <c r="AI358" s="52">
        <v>1</v>
      </c>
      <c r="AJ358" s="53" t="s">
        <v>857</v>
      </c>
    </row>
    <row r="359" spans="1:36" ht="15.75" hidden="1" x14ac:dyDescent="0.25">
      <c r="A359" s="33" t="s">
        <v>853</v>
      </c>
      <c r="B359" s="34">
        <v>8875</v>
      </c>
      <c r="C359" s="34"/>
      <c r="D359" s="35">
        <v>48</v>
      </c>
      <c r="E359" s="36" t="str">
        <f t="shared" si="66"/>
        <v/>
      </c>
      <c r="F359" s="37" t="str">
        <f t="shared" si="67"/>
        <v/>
      </c>
      <c r="G359" s="38">
        <f t="shared" si="70"/>
        <v>0</v>
      </c>
      <c r="H359" s="38">
        <f t="shared" si="70"/>
        <v>0</v>
      </c>
      <c r="I359" s="39">
        <v>0</v>
      </c>
      <c r="J359" s="116">
        <f t="shared" si="77"/>
        <v>0</v>
      </c>
      <c r="K359" s="117">
        <v>0</v>
      </c>
      <c r="L359" s="118">
        <v>1.06</v>
      </c>
      <c r="M359" s="39">
        <f t="shared" si="71"/>
        <v>0</v>
      </c>
      <c r="N359" s="116">
        <f t="shared" si="72"/>
        <v>0</v>
      </c>
      <c r="O359" s="43"/>
      <c r="P359" s="119"/>
      <c r="Q359" s="120"/>
      <c r="R359" s="121"/>
      <c r="S359" s="122"/>
      <c r="T359" s="34">
        <f t="shared" si="65"/>
        <v>0</v>
      </c>
      <c r="U359" s="34">
        <f t="shared" si="73"/>
        <v>0</v>
      </c>
      <c r="V359" s="34">
        <f t="shared" si="74"/>
        <v>0</v>
      </c>
      <c r="W359" s="34">
        <f t="shared" si="75"/>
        <v>0</v>
      </c>
      <c r="X359" s="48" t="s">
        <v>854</v>
      </c>
      <c r="Y359" s="48" t="s">
        <v>855</v>
      </c>
      <c r="Z359" s="49" t="s">
        <v>548</v>
      </c>
      <c r="AA359" s="49"/>
      <c r="AB359" s="33" t="s">
        <v>856</v>
      </c>
      <c r="AC359" s="33"/>
      <c r="AD359" s="50">
        <f t="shared" si="76"/>
        <v>0</v>
      </c>
      <c r="AE359" s="51">
        <f t="shared" si="68"/>
        <v>0</v>
      </c>
      <c r="AF359" s="51">
        <f t="shared" si="69"/>
        <v>0</v>
      </c>
      <c r="AG359" s="52">
        <v>8883</v>
      </c>
      <c r="AH359" s="52">
        <v>8875</v>
      </c>
      <c r="AI359" s="52">
        <v>1</v>
      </c>
      <c r="AJ359" s="53" t="s">
        <v>858</v>
      </c>
    </row>
    <row r="360" spans="1:36" ht="15.75" hidden="1" x14ac:dyDescent="0.25">
      <c r="A360" s="33" t="s">
        <v>859</v>
      </c>
      <c r="B360" s="34">
        <v>8876</v>
      </c>
      <c r="C360" s="34"/>
      <c r="D360" s="35">
        <v>44</v>
      </c>
      <c r="E360" s="36" t="str">
        <f t="shared" si="66"/>
        <v/>
      </c>
      <c r="F360" s="37" t="str">
        <f t="shared" si="67"/>
        <v/>
      </c>
      <c r="G360" s="38">
        <f t="shared" si="70"/>
        <v>0</v>
      </c>
      <c r="H360" s="38">
        <f t="shared" si="70"/>
        <v>0</v>
      </c>
      <c r="I360" s="39">
        <v>0</v>
      </c>
      <c r="J360" s="116">
        <f t="shared" si="77"/>
        <v>0</v>
      </c>
      <c r="K360" s="117">
        <v>0</v>
      </c>
      <c r="L360" s="118">
        <v>1.06</v>
      </c>
      <c r="M360" s="39">
        <f t="shared" si="71"/>
        <v>0</v>
      </c>
      <c r="N360" s="116">
        <f t="shared" si="72"/>
        <v>0</v>
      </c>
      <c r="O360" s="43"/>
      <c r="P360" s="119"/>
      <c r="Q360" s="120"/>
      <c r="R360" s="121"/>
      <c r="S360" s="122"/>
      <c r="T360" s="34">
        <f t="shared" si="65"/>
        <v>0</v>
      </c>
      <c r="U360" s="34">
        <f t="shared" si="73"/>
        <v>0</v>
      </c>
      <c r="V360" s="34">
        <f t="shared" si="74"/>
        <v>0</v>
      </c>
      <c r="W360" s="34">
        <f t="shared" si="75"/>
        <v>0</v>
      </c>
      <c r="X360" s="48" t="s">
        <v>854</v>
      </c>
      <c r="Y360" s="48" t="s">
        <v>855</v>
      </c>
      <c r="Z360" s="49" t="s">
        <v>548</v>
      </c>
      <c r="AA360" s="49"/>
      <c r="AB360" s="33" t="s">
        <v>856</v>
      </c>
      <c r="AC360" s="33"/>
      <c r="AD360" s="50">
        <f t="shared" si="76"/>
        <v>0</v>
      </c>
      <c r="AE360" s="51">
        <f t="shared" si="68"/>
        <v>0</v>
      </c>
      <c r="AF360" s="51">
        <f t="shared" si="69"/>
        <v>0</v>
      </c>
      <c r="AG360" s="52">
        <v>8883</v>
      </c>
      <c r="AH360" s="52">
        <v>8876</v>
      </c>
      <c r="AI360" s="52">
        <v>1</v>
      </c>
      <c r="AJ360" s="53" t="s">
        <v>860</v>
      </c>
    </row>
    <row r="361" spans="1:36" ht="15.75" hidden="1" x14ac:dyDescent="0.25">
      <c r="A361" s="33" t="s">
        <v>861</v>
      </c>
      <c r="B361" s="34">
        <v>8865</v>
      </c>
      <c r="C361" s="34"/>
      <c r="D361" s="35">
        <v>10</v>
      </c>
      <c r="E361" s="36" t="str">
        <f t="shared" si="66"/>
        <v/>
      </c>
      <c r="F361" s="37" t="str">
        <f t="shared" si="67"/>
        <v/>
      </c>
      <c r="G361" s="38">
        <f t="shared" si="70"/>
        <v>0</v>
      </c>
      <c r="H361" s="38">
        <f t="shared" si="70"/>
        <v>0</v>
      </c>
      <c r="I361" s="39">
        <v>4</v>
      </c>
      <c r="J361" s="116">
        <f t="shared" si="77"/>
        <v>0.4</v>
      </c>
      <c r="K361" s="117">
        <v>-2.29</v>
      </c>
      <c r="L361" s="118">
        <v>1</v>
      </c>
      <c r="M361" s="39">
        <f t="shared" si="71"/>
        <v>4</v>
      </c>
      <c r="N361" s="116">
        <f t="shared" si="72"/>
        <v>0.4</v>
      </c>
      <c r="O361" s="43"/>
      <c r="P361" s="119"/>
      <c r="Q361" s="120"/>
      <c r="R361" s="121"/>
      <c r="S361" s="122"/>
      <c r="T361" s="34">
        <f t="shared" si="65"/>
        <v>0</v>
      </c>
      <c r="U361" s="34">
        <f t="shared" si="73"/>
        <v>0</v>
      </c>
      <c r="V361" s="34">
        <f t="shared" si="74"/>
        <v>0</v>
      </c>
      <c r="W361" s="34">
        <f t="shared" si="75"/>
        <v>0</v>
      </c>
      <c r="X361" s="48" t="s">
        <v>854</v>
      </c>
      <c r="Y361" s="48" t="s">
        <v>855</v>
      </c>
      <c r="Z361" s="49" t="s">
        <v>862</v>
      </c>
      <c r="AA361" s="49"/>
      <c r="AB361" s="33" t="s">
        <v>856</v>
      </c>
      <c r="AC361" s="33"/>
      <c r="AD361" s="50">
        <f t="shared" si="76"/>
        <v>0.4</v>
      </c>
      <c r="AE361" s="51">
        <f t="shared" si="68"/>
        <v>0</v>
      </c>
      <c r="AF361" s="51">
        <f t="shared" si="69"/>
        <v>0</v>
      </c>
      <c r="AG361" s="52">
        <v>8865</v>
      </c>
      <c r="AH361" s="52">
        <v>44566</v>
      </c>
      <c r="AI361" s="52">
        <v>1</v>
      </c>
      <c r="AJ361" s="53" t="s">
        <v>863</v>
      </c>
    </row>
    <row r="362" spans="1:36" ht="15.75" hidden="1" x14ac:dyDescent="0.25">
      <c r="A362" s="33" t="s">
        <v>864</v>
      </c>
      <c r="B362" s="34">
        <v>8866</v>
      </c>
      <c r="C362" s="34"/>
      <c r="D362" s="35">
        <v>10</v>
      </c>
      <c r="E362" s="36" t="str">
        <f t="shared" si="66"/>
        <v/>
      </c>
      <c r="F362" s="37" t="str">
        <f t="shared" si="67"/>
        <v/>
      </c>
      <c r="G362" s="38">
        <f t="shared" si="70"/>
        <v>0</v>
      </c>
      <c r="H362" s="38">
        <f t="shared" si="70"/>
        <v>0</v>
      </c>
      <c r="I362" s="39">
        <v>4</v>
      </c>
      <c r="J362" s="116">
        <f t="shared" si="77"/>
        <v>0.4</v>
      </c>
      <c r="K362" s="117">
        <v>-2.29</v>
      </c>
      <c r="L362" s="118">
        <v>1</v>
      </c>
      <c r="M362" s="39">
        <f t="shared" si="71"/>
        <v>4</v>
      </c>
      <c r="N362" s="116">
        <f t="shared" si="72"/>
        <v>0.4</v>
      </c>
      <c r="O362" s="43"/>
      <c r="P362" s="119"/>
      <c r="Q362" s="120"/>
      <c r="R362" s="121"/>
      <c r="S362" s="122"/>
      <c r="T362" s="34">
        <f t="shared" si="65"/>
        <v>0</v>
      </c>
      <c r="U362" s="34">
        <f t="shared" si="73"/>
        <v>0</v>
      </c>
      <c r="V362" s="34">
        <f t="shared" si="74"/>
        <v>0</v>
      </c>
      <c r="W362" s="34">
        <f t="shared" si="75"/>
        <v>0</v>
      </c>
      <c r="X362" s="48" t="s">
        <v>854</v>
      </c>
      <c r="Y362" s="48" t="s">
        <v>855</v>
      </c>
      <c r="Z362" s="49" t="s">
        <v>862</v>
      </c>
      <c r="AA362" s="49"/>
      <c r="AB362" s="33" t="s">
        <v>856</v>
      </c>
      <c r="AC362" s="33"/>
      <c r="AD362" s="50">
        <f t="shared" si="76"/>
        <v>0.4</v>
      </c>
      <c r="AE362" s="51">
        <f t="shared" si="68"/>
        <v>0</v>
      </c>
      <c r="AF362" s="51">
        <f t="shared" si="69"/>
        <v>0</v>
      </c>
      <c r="AG362" s="52">
        <v>8866</v>
      </c>
      <c r="AH362" s="52">
        <v>44566</v>
      </c>
      <c r="AI362" s="52">
        <v>1</v>
      </c>
      <c r="AJ362" s="53" t="s">
        <v>865</v>
      </c>
    </row>
    <row r="363" spans="1:36" ht="15.75" hidden="1" x14ac:dyDescent="0.25">
      <c r="A363" s="33" t="s">
        <v>866</v>
      </c>
      <c r="B363" s="34">
        <v>8872</v>
      </c>
      <c r="C363" s="34"/>
      <c r="D363" s="35">
        <v>10</v>
      </c>
      <c r="E363" s="36" t="str">
        <f t="shared" si="66"/>
        <v/>
      </c>
      <c r="F363" s="37" t="str">
        <f t="shared" si="67"/>
        <v/>
      </c>
      <c r="G363" s="38">
        <f t="shared" si="70"/>
        <v>0</v>
      </c>
      <c r="H363" s="38">
        <f t="shared" si="70"/>
        <v>0</v>
      </c>
      <c r="I363" s="39">
        <v>4</v>
      </c>
      <c r="J363" s="116">
        <f t="shared" si="77"/>
        <v>0.4</v>
      </c>
      <c r="K363" s="117">
        <v>-1.4</v>
      </c>
      <c r="L363" s="118">
        <v>0.98499999999999999</v>
      </c>
      <c r="M363" s="39">
        <f t="shared" si="71"/>
        <v>4</v>
      </c>
      <c r="N363" s="116">
        <f t="shared" si="72"/>
        <v>0.4</v>
      </c>
      <c r="O363" s="43"/>
      <c r="P363" s="119"/>
      <c r="Q363" s="120"/>
      <c r="R363" s="121"/>
      <c r="S363" s="122"/>
      <c r="T363" s="34">
        <f t="shared" si="65"/>
        <v>0</v>
      </c>
      <c r="U363" s="34">
        <f t="shared" si="73"/>
        <v>0</v>
      </c>
      <c r="V363" s="34">
        <f t="shared" si="74"/>
        <v>0</v>
      </c>
      <c r="W363" s="34">
        <f t="shared" si="75"/>
        <v>0</v>
      </c>
      <c r="X363" s="48" t="s">
        <v>854</v>
      </c>
      <c r="Y363" s="48" t="s">
        <v>855</v>
      </c>
      <c r="Z363" s="49" t="s">
        <v>862</v>
      </c>
      <c r="AA363" s="49"/>
      <c r="AB363" s="33" t="s">
        <v>856</v>
      </c>
      <c r="AC363" s="33"/>
      <c r="AD363" s="50">
        <f t="shared" si="76"/>
        <v>0.4</v>
      </c>
      <c r="AE363" s="51">
        <f t="shared" si="68"/>
        <v>0</v>
      </c>
      <c r="AF363" s="51">
        <f t="shared" si="69"/>
        <v>0</v>
      </c>
      <c r="AG363" s="52">
        <v>8872</v>
      </c>
      <c r="AH363" s="52">
        <v>45255</v>
      </c>
      <c r="AI363" s="52">
        <v>1</v>
      </c>
      <c r="AJ363" s="53" t="s">
        <v>867</v>
      </c>
    </row>
    <row r="364" spans="1:36" ht="15.75" hidden="1" x14ac:dyDescent="0.25">
      <c r="A364" s="33" t="s">
        <v>868</v>
      </c>
      <c r="B364" s="34">
        <v>8873</v>
      </c>
      <c r="C364" s="34"/>
      <c r="D364" s="35">
        <v>10</v>
      </c>
      <c r="E364" s="36" t="str">
        <f t="shared" si="66"/>
        <v/>
      </c>
      <c r="F364" s="37" t="str">
        <f t="shared" si="67"/>
        <v/>
      </c>
      <c r="G364" s="38">
        <f t="shared" si="70"/>
        <v>0</v>
      </c>
      <c r="H364" s="38">
        <f t="shared" si="70"/>
        <v>0</v>
      </c>
      <c r="I364" s="39">
        <v>4</v>
      </c>
      <c r="J364" s="116">
        <f t="shared" si="77"/>
        <v>0.4</v>
      </c>
      <c r="K364" s="117">
        <v>-1.4</v>
      </c>
      <c r="L364" s="118">
        <v>0.98499999999999999</v>
      </c>
      <c r="M364" s="39">
        <f t="shared" si="71"/>
        <v>4</v>
      </c>
      <c r="N364" s="116">
        <f t="shared" si="72"/>
        <v>0.4</v>
      </c>
      <c r="O364" s="43"/>
      <c r="P364" s="119"/>
      <c r="Q364" s="120"/>
      <c r="R364" s="121"/>
      <c r="S364" s="122"/>
      <c r="T364" s="34">
        <f t="shared" si="65"/>
        <v>0</v>
      </c>
      <c r="U364" s="34">
        <f t="shared" si="73"/>
        <v>0</v>
      </c>
      <c r="V364" s="34">
        <f t="shared" si="74"/>
        <v>0</v>
      </c>
      <c r="W364" s="34">
        <f t="shared" si="75"/>
        <v>0</v>
      </c>
      <c r="X364" s="48" t="s">
        <v>854</v>
      </c>
      <c r="Y364" s="48" t="s">
        <v>855</v>
      </c>
      <c r="Z364" s="49" t="s">
        <v>862</v>
      </c>
      <c r="AA364" s="49"/>
      <c r="AB364" s="33" t="s">
        <v>856</v>
      </c>
      <c r="AC364" s="33"/>
      <c r="AD364" s="50">
        <f t="shared" si="76"/>
        <v>0.4</v>
      </c>
      <c r="AE364" s="51">
        <f t="shared" si="68"/>
        <v>0</v>
      </c>
      <c r="AF364" s="51">
        <f t="shared" si="69"/>
        <v>0</v>
      </c>
      <c r="AG364" s="52">
        <v>8873</v>
      </c>
      <c r="AH364" s="52">
        <v>45255</v>
      </c>
      <c r="AI364" s="52">
        <v>1</v>
      </c>
      <c r="AJ364" s="53" t="s">
        <v>869</v>
      </c>
    </row>
    <row r="365" spans="1:36" ht="15.75" hidden="1" x14ac:dyDescent="0.25">
      <c r="A365" s="33" t="s">
        <v>870</v>
      </c>
      <c r="B365" s="34">
        <v>8870</v>
      </c>
      <c r="C365" s="34"/>
      <c r="D365" s="35">
        <v>9</v>
      </c>
      <c r="E365" s="36" t="str">
        <f t="shared" si="66"/>
        <v/>
      </c>
      <c r="F365" s="37" t="str">
        <f t="shared" si="67"/>
        <v/>
      </c>
      <c r="G365" s="38">
        <f t="shared" si="70"/>
        <v>0</v>
      </c>
      <c r="H365" s="38">
        <f t="shared" si="70"/>
        <v>0</v>
      </c>
      <c r="I365" s="39">
        <v>6</v>
      </c>
      <c r="J365" s="116">
        <f t="shared" si="77"/>
        <v>0.66666666666666663</v>
      </c>
      <c r="K365" s="117">
        <v>1.6579999999999999</v>
      </c>
      <c r="L365" s="118">
        <v>1</v>
      </c>
      <c r="M365" s="39">
        <f t="shared" si="71"/>
        <v>6</v>
      </c>
      <c r="N365" s="116">
        <f t="shared" si="72"/>
        <v>0.66666666666666663</v>
      </c>
      <c r="O365" s="43"/>
      <c r="P365" s="119"/>
      <c r="Q365" s="120"/>
      <c r="R365" s="121"/>
      <c r="S365" s="122"/>
      <c r="T365" s="34">
        <f t="shared" si="65"/>
        <v>0</v>
      </c>
      <c r="U365" s="34">
        <f t="shared" si="73"/>
        <v>0</v>
      </c>
      <c r="V365" s="34">
        <f t="shared" si="74"/>
        <v>0</v>
      </c>
      <c r="W365" s="34">
        <f t="shared" si="75"/>
        <v>0</v>
      </c>
      <c r="X365" s="48" t="s">
        <v>854</v>
      </c>
      <c r="Y365" s="48" t="s">
        <v>855</v>
      </c>
      <c r="Z365" s="49" t="s">
        <v>862</v>
      </c>
      <c r="AA365" s="49"/>
      <c r="AB365" s="33" t="s">
        <v>856</v>
      </c>
      <c r="AC365" s="33"/>
      <c r="AD365" s="50">
        <f t="shared" si="76"/>
        <v>0.66666666666666663</v>
      </c>
      <c r="AE365" s="51">
        <f t="shared" si="68"/>
        <v>0</v>
      </c>
      <c r="AF365" s="51">
        <f t="shared" si="69"/>
        <v>0</v>
      </c>
      <c r="AG365" s="52">
        <v>44558</v>
      </c>
      <c r="AH365" s="52">
        <v>8870</v>
      </c>
      <c r="AI365" s="52">
        <v>1</v>
      </c>
      <c r="AJ365" s="53" t="s">
        <v>871</v>
      </c>
    </row>
    <row r="366" spans="1:36" ht="15.75" hidden="1" x14ac:dyDescent="0.25">
      <c r="A366" s="33" t="s">
        <v>872</v>
      </c>
      <c r="B366" s="34">
        <v>8871</v>
      </c>
      <c r="C366" s="34"/>
      <c r="D366" s="35">
        <v>8</v>
      </c>
      <c r="E366" s="36" t="str">
        <f t="shared" si="66"/>
        <v/>
      </c>
      <c r="F366" s="37" t="str">
        <f t="shared" si="67"/>
        <v/>
      </c>
      <c r="G366" s="38">
        <f t="shared" si="70"/>
        <v>0</v>
      </c>
      <c r="H366" s="38">
        <f t="shared" si="70"/>
        <v>0</v>
      </c>
      <c r="I366" s="39">
        <v>0</v>
      </c>
      <c r="J366" s="116">
        <f t="shared" si="77"/>
        <v>0</v>
      </c>
      <c r="K366" s="117">
        <v>0</v>
      </c>
      <c r="L366" s="118">
        <v>0.998</v>
      </c>
      <c r="M366" s="39">
        <f t="shared" si="71"/>
        <v>0</v>
      </c>
      <c r="N366" s="116">
        <f t="shared" si="72"/>
        <v>0</v>
      </c>
      <c r="O366" s="43"/>
      <c r="P366" s="119"/>
      <c r="Q366" s="120"/>
      <c r="R366" s="121"/>
      <c r="S366" s="122"/>
      <c r="T366" s="34">
        <f t="shared" si="65"/>
        <v>0</v>
      </c>
      <c r="U366" s="34">
        <f t="shared" si="73"/>
        <v>0</v>
      </c>
      <c r="V366" s="34">
        <f t="shared" si="74"/>
        <v>0</v>
      </c>
      <c r="W366" s="34">
        <f t="shared" si="75"/>
        <v>0</v>
      </c>
      <c r="X366" s="48" t="s">
        <v>854</v>
      </c>
      <c r="Y366" s="48" t="s">
        <v>855</v>
      </c>
      <c r="Z366" s="49" t="s">
        <v>862</v>
      </c>
      <c r="AA366" s="49"/>
      <c r="AB366" s="33" t="s">
        <v>856</v>
      </c>
      <c r="AC366" s="33"/>
      <c r="AD366" s="50">
        <f t="shared" si="76"/>
        <v>0</v>
      </c>
      <c r="AE366" s="51">
        <f t="shared" si="68"/>
        <v>0</v>
      </c>
      <c r="AF366" s="51">
        <f t="shared" si="69"/>
        <v>0</v>
      </c>
      <c r="AG366" s="52">
        <v>44558</v>
      </c>
      <c r="AH366" s="52">
        <v>8871</v>
      </c>
      <c r="AI366" s="52">
        <v>1</v>
      </c>
      <c r="AJ366" s="53" t="s">
        <v>873</v>
      </c>
    </row>
    <row r="367" spans="1:36" ht="15.75" hidden="1" x14ac:dyDescent="0.25">
      <c r="A367" s="33" t="s">
        <v>874</v>
      </c>
      <c r="B367" s="34">
        <v>8869</v>
      </c>
      <c r="C367" s="34"/>
      <c r="D367" s="35">
        <v>11</v>
      </c>
      <c r="E367" s="36" t="str">
        <f t="shared" si="66"/>
        <v/>
      </c>
      <c r="F367" s="37" t="str">
        <f t="shared" si="67"/>
        <v/>
      </c>
      <c r="G367" s="38">
        <f t="shared" si="70"/>
        <v>0</v>
      </c>
      <c r="H367" s="38">
        <f t="shared" si="70"/>
        <v>0</v>
      </c>
      <c r="I367" s="39">
        <v>9</v>
      </c>
      <c r="J367" s="116">
        <f t="shared" si="77"/>
        <v>0.81818181818181823</v>
      </c>
      <c r="K367" s="117">
        <v>-1.1299999999999999</v>
      </c>
      <c r="L367" s="118">
        <v>1</v>
      </c>
      <c r="M367" s="39">
        <f t="shared" si="71"/>
        <v>9</v>
      </c>
      <c r="N367" s="116">
        <f t="shared" si="72"/>
        <v>0.81818181818181823</v>
      </c>
      <c r="O367" s="43"/>
      <c r="P367" s="119"/>
      <c r="Q367" s="120"/>
      <c r="R367" s="121"/>
      <c r="S367" s="122"/>
      <c r="T367" s="34">
        <f t="shared" si="65"/>
        <v>0</v>
      </c>
      <c r="U367" s="34">
        <f t="shared" si="73"/>
        <v>0</v>
      </c>
      <c r="V367" s="34">
        <f t="shared" si="74"/>
        <v>0</v>
      </c>
      <c r="W367" s="34">
        <f t="shared" si="75"/>
        <v>0</v>
      </c>
      <c r="X367" s="48" t="s">
        <v>854</v>
      </c>
      <c r="Y367" s="48" t="s">
        <v>855</v>
      </c>
      <c r="Z367" s="49" t="s">
        <v>875</v>
      </c>
      <c r="AA367" s="49"/>
      <c r="AB367" s="33" t="s">
        <v>856</v>
      </c>
      <c r="AC367" s="33"/>
      <c r="AD367" s="50">
        <f t="shared" si="76"/>
        <v>0.81818181818181823</v>
      </c>
      <c r="AE367" s="51">
        <f t="shared" si="68"/>
        <v>0</v>
      </c>
      <c r="AF367" s="51">
        <f t="shared" si="69"/>
        <v>0</v>
      </c>
      <c r="AG367" s="52">
        <v>8869</v>
      </c>
      <c r="AH367" s="52">
        <v>8814</v>
      </c>
      <c r="AI367" s="52">
        <v>1</v>
      </c>
      <c r="AJ367" s="53" t="s">
        <v>876</v>
      </c>
    </row>
    <row r="368" spans="1:36" ht="15.75" hidden="1" x14ac:dyDescent="0.25">
      <c r="A368" s="33" t="s">
        <v>877</v>
      </c>
      <c r="B368" s="34">
        <v>8877</v>
      </c>
      <c r="C368" s="34"/>
      <c r="D368" s="35" t="s">
        <v>878</v>
      </c>
      <c r="E368" s="36" t="str">
        <f t="shared" si="66"/>
        <v/>
      </c>
      <c r="F368" s="37" t="str">
        <f t="shared" si="67"/>
        <v/>
      </c>
      <c r="G368" s="38">
        <f t="shared" si="70"/>
        <v>0</v>
      </c>
      <c r="H368" s="38">
        <f t="shared" si="70"/>
        <v>0</v>
      </c>
      <c r="I368" s="39"/>
      <c r="J368" s="116" t="str">
        <f t="shared" si="77"/>
        <v>-</v>
      </c>
      <c r="K368" s="117"/>
      <c r="L368" s="118"/>
      <c r="M368" s="39">
        <f t="shared" si="71"/>
        <v>0</v>
      </c>
      <c r="N368" s="116">
        <f t="shared" si="72"/>
        <v>0</v>
      </c>
      <c r="O368" s="43"/>
      <c r="P368" s="119"/>
      <c r="Q368" s="120"/>
      <c r="R368" s="121"/>
      <c r="S368" s="122"/>
      <c r="T368" s="34">
        <f t="shared" si="65"/>
        <v>0</v>
      </c>
      <c r="U368" s="34">
        <f t="shared" si="73"/>
        <v>0</v>
      </c>
      <c r="V368" s="34">
        <f t="shared" si="74"/>
        <v>0</v>
      </c>
      <c r="W368" s="34">
        <f t="shared" si="75"/>
        <v>0</v>
      </c>
      <c r="X368" s="48" t="s">
        <v>854</v>
      </c>
      <c r="Y368" s="48" t="s">
        <v>855</v>
      </c>
      <c r="Z368" s="49" t="s">
        <v>862</v>
      </c>
      <c r="AA368" s="49"/>
      <c r="AB368" s="33" t="s">
        <v>856</v>
      </c>
      <c r="AC368" s="33"/>
      <c r="AD368" s="50">
        <f t="shared" si="76"/>
        <v>0</v>
      </c>
      <c r="AE368" s="51">
        <f t="shared" si="68"/>
        <v>0</v>
      </c>
      <c r="AF368" s="51">
        <f t="shared" si="69"/>
        <v>0</v>
      </c>
      <c r="AG368" s="52" t="s">
        <v>134</v>
      </c>
      <c r="AH368" s="52" t="s">
        <v>134</v>
      </c>
      <c r="AI368" s="52" t="s">
        <v>134</v>
      </c>
      <c r="AJ368" s="53" t="s">
        <v>134</v>
      </c>
    </row>
    <row r="369" spans="1:36" ht="15.75" hidden="1" x14ac:dyDescent="0.25">
      <c r="A369" s="33" t="s">
        <v>879</v>
      </c>
      <c r="B369" s="34">
        <v>8867</v>
      </c>
      <c r="C369" s="34"/>
      <c r="D369" s="35">
        <v>22</v>
      </c>
      <c r="E369" s="36" t="str">
        <f t="shared" si="66"/>
        <v/>
      </c>
      <c r="F369" s="37" t="str">
        <f t="shared" si="67"/>
        <v/>
      </c>
      <c r="G369" s="38">
        <f t="shared" si="70"/>
        <v>0</v>
      </c>
      <c r="H369" s="38">
        <f t="shared" si="70"/>
        <v>0</v>
      </c>
      <c r="I369" s="39">
        <v>0</v>
      </c>
      <c r="J369" s="116">
        <f t="shared" si="77"/>
        <v>0</v>
      </c>
      <c r="K369" s="117">
        <v>0</v>
      </c>
      <c r="L369" s="118">
        <v>0.98499999999999999</v>
      </c>
      <c r="M369" s="39">
        <f t="shared" si="71"/>
        <v>0</v>
      </c>
      <c r="N369" s="116">
        <f t="shared" si="72"/>
        <v>0</v>
      </c>
      <c r="O369" s="43"/>
      <c r="P369" s="119"/>
      <c r="Q369" s="120"/>
      <c r="R369" s="121"/>
      <c r="S369" s="122"/>
      <c r="T369" s="34">
        <f t="shared" si="65"/>
        <v>0</v>
      </c>
      <c r="U369" s="34">
        <f t="shared" si="73"/>
        <v>0</v>
      </c>
      <c r="V369" s="34">
        <f t="shared" si="74"/>
        <v>0</v>
      </c>
      <c r="W369" s="34">
        <f t="shared" si="75"/>
        <v>0</v>
      </c>
      <c r="X369" s="48" t="s">
        <v>854</v>
      </c>
      <c r="Y369" s="48" t="s">
        <v>855</v>
      </c>
      <c r="Z369" s="49" t="s">
        <v>647</v>
      </c>
      <c r="AA369" s="49"/>
      <c r="AB369" s="33" t="s">
        <v>856</v>
      </c>
      <c r="AC369" s="33"/>
      <c r="AD369" s="50">
        <f t="shared" si="76"/>
        <v>0</v>
      </c>
      <c r="AE369" s="51">
        <f t="shared" si="68"/>
        <v>0</v>
      </c>
      <c r="AF369" s="51">
        <f t="shared" si="69"/>
        <v>0</v>
      </c>
      <c r="AG369" s="52">
        <v>8884</v>
      </c>
      <c r="AH369" s="52">
        <v>8867</v>
      </c>
      <c r="AI369" s="52">
        <v>1</v>
      </c>
      <c r="AJ369" s="53" t="s">
        <v>880</v>
      </c>
    </row>
    <row r="370" spans="1:36" ht="15.75" hidden="1" x14ac:dyDescent="0.25">
      <c r="A370" s="33" t="s">
        <v>881</v>
      </c>
      <c r="B370" s="34">
        <v>8868</v>
      </c>
      <c r="C370" s="34"/>
      <c r="D370" s="35">
        <v>19</v>
      </c>
      <c r="E370" s="36" t="str">
        <f t="shared" si="66"/>
        <v/>
      </c>
      <c r="F370" s="37" t="str">
        <f t="shared" si="67"/>
        <v/>
      </c>
      <c r="G370" s="38">
        <f t="shared" si="70"/>
        <v>0</v>
      </c>
      <c r="H370" s="38">
        <f t="shared" si="70"/>
        <v>0</v>
      </c>
      <c r="I370" s="39">
        <v>0</v>
      </c>
      <c r="J370" s="116">
        <f t="shared" si="77"/>
        <v>0</v>
      </c>
      <c r="K370" s="117">
        <v>0</v>
      </c>
      <c r="L370" s="118">
        <v>0.98499999999999999</v>
      </c>
      <c r="M370" s="39">
        <f t="shared" si="71"/>
        <v>0</v>
      </c>
      <c r="N370" s="116">
        <f t="shared" si="72"/>
        <v>0</v>
      </c>
      <c r="O370" s="43"/>
      <c r="P370" s="119"/>
      <c r="Q370" s="120"/>
      <c r="R370" s="121"/>
      <c r="S370" s="122"/>
      <c r="T370" s="34">
        <f t="shared" si="65"/>
        <v>0</v>
      </c>
      <c r="U370" s="34">
        <f t="shared" si="73"/>
        <v>0</v>
      </c>
      <c r="V370" s="34">
        <f t="shared" si="74"/>
        <v>0</v>
      </c>
      <c r="W370" s="34">
        <f t="shared" si="75"/>
        <v>0</v>
      </c>
      <c r="X370" s="48" t="s">
        <v>854</v>
      </c>
      <c r="Y370" s="48" t="s">
        <v>855</v>
      </c>
      <c r="Z370" s="49" t="s">
        <v>647</v>
      </c>
      <c r="AA370" s="49"/>
      <c r="AB370" s="33" t="s">
        <v>856</v>
      </c>
      <c r="AC370" s="33"/>
      <c r="AD370" s="50">
        <f t="shared" si="76"/>
        <v>0</v>
      </c>
      <c r="AE370" s="51">
        <f t="shared" si="68"/>
        <v>0</v>
      </c>
      <c r="AF370" s="51">
        <f t="shared" si="69"/>
        <v>0</v>
      </c>
      <c r="AG370" s="52">
        <v>8884</v>
      </c>
      <c r="AH370" s="52">
        <v>8868</v>
      </c>
      <c r="AI370" s="52">
        <v>1</v>
      </c>
      <c r="AJ370" s="53" t="s">
        <v>882</v>
      </c>
    </row>
    <row r="371" spans="1:36" ht="15.75" hidden="1" x14ac:dyDescent="0.25">
      <c r="A371" s="33" t="s">
        <v>883</v>
      </c>
      <c r="B371" s="34">
        <v>8835</v>
      </c>
      <c r="C371" s="34"/>
      <c r="D371" s="85">
        <v>143</v>
      </c>
      <c r="E371" s="36" t="str">
        <f t="shared" si="66"/>
        <v/>
      </c>
      <c r="F371" s="37" t="str">
        <f t="shared" si="67"/>
        <v/>
      </c>
      <c r="G371" s="38">
        <f t="shared" si="70"/>
        <v>0</v>
      </c>
      <c r="H371" s="38">
        <f t="shared" si="70"/>
        <v>0</v>
      </c>
      <c r="I371" s="39">
        <v>0</v>
      </c>
      <c r="J371" s="116">
        <f t="shared" si="77"/>
        <v>0</v>
      </c>
      <c r="K371" s="117">
        <v>0</v>
      </c>
      <c r="L371" s="118">
        <v>0.996</v>
      </c>
      <c r="M371" s="39">
        <f t="shared" si="71"/>
        <v>0</v>
      </c>
      <c r="N371" s="116">
        <f t="shared" si="72"/>
        <v>0</v>
      </c>
      <c r="O371" s="43"/>
      <c r="P371" s="119"/>
      <c r="Q371" s="120"/>
      <c r="R371" s="121"/>
      <c r="S371" s="122"/>
      <c r="T371" s="34">
        <f t="shared" si="65"/>
        <v>0</v>
      </c>
      <c r="U371" s="34">
        <f t="shared" si="73"/>
        <v>0</v>
      </c>
      <c r="V371" s="34">
        <f t="shared" si="74"/>
        <v>0</v>
      </c>
      <c r="W371" s="34">
        <f t="shared" si="75"/>
        <v>0</v>
      </c>
      <c r="X371" s="48" t="s">
        <v>854</v>
      </c>
      <c r="Y371" s="48" t="s">
        <v>855</v>
      </c>
      <c r="Z371" s="49" t="s">
        <v>647</v>
      </c>
      <c r="AA371" s="49"/>
      <c r="AB371" s="33" t="s">
        <v>856</v>
      </c>
      <c r="AC371" s="33"/>
      <c r="AD371" s="50">
        <f t="shared" si="76"/>
        <v>0</v>
      </c>
      <c r="AE371" s="51">
        <f t="shared" si="68"/>
        <v>0</v>
      </c>
      <c r="AF371" s="51">
        <f t="shared" si="69"/>
        <v>0</v>
      </c>
      <c r="AG371" s="52">
        <v>8829</v>
      </c>
      <c r="AH371" s="52">
        <v>8835</v>
      </c>
      <c r="AI371" s="52">
        <v>1</v>
      </c>
      <c r="AJ371" s="53" t="s">
        <v>884</v>
      </c>
    </row>
    <row r="372" spans="1:36" ht="15.75" hidden="1" x14ac:dyDescent="0.25">
      <c r="A372" s="33" t="s">
        <v>885</v>
      </c>
      <c r="B372" s="34">
        <v>8833</v>
      </c>
      <c r="C372" s="34"/>
      <c r="D372" s="85">
        <v>29</v>
      </c>
      <c r="E372" s="36" t="str">
        <f t="shared" si="66"/>
        <v/>
      </c>
      <c r="F372" s="37" t="str">
        <f t="shared" si="67"/>
        <v/>
      </c>
      <c r="G372" s="38">
        <f t="shared" si="70"/>
        <v>0</v>
      </c>
      <c r="H372" s="38">
        <f t="shared" si="70"/>
        <v>0</v>
      </c>
      <c r="I372" s="39">
        <v>0</v>
      </c>
      <c r="J372" s="116">
        <f t="shared" si="77"/>
        <v>0</v>
      </c>
      <c r="K372" s="117">
        <v>0</v>
      </c>
      <c r="L372" s="118">
        <v>0.996</v>
      </c>
      <c r="M372" s="39">
        <f t="shared" si="71"/>
        <v>0</v>
      </c>
      <c r="N372" s="116">
        <f t="shared" si="72"/>
        <v>0</v>
      </c>
      <c r="O372" s="43"/>
      <c r="P372" s="119"/>
      <c r="Q372" s="120"/>
      <c r="R372" s="121"/>
      <c r="S372" s="122"/>
      <c r="T372" s="34">
        <f t="shared" si="65"/>
        <v>0</v>
      </c>
      <c r="U372" s="34">
        <f t="shared" si="73"/>
        <v>0</v>
      </c>
      <c r="V372" s="34">
        <f t="shared" si="74"/>
        <v>0</v>
      </c>
      <c r="W372" s="34">
        <f t="shared" si="75"/>
        <v>0</v>
      </c>
      <c r="X372" s="48" t="s">
        <v>854</v>
      </c>
      <c r="Y372" s="48" t="s">
        <v>855</v>
      </c>
      <c r="Z372" s="49" t="s">
        <v>647</v>
      </c>
      <c r="AA372" s="49"/>
      <c r="AB372" s="33" t="s">
        <v>856</v>
      </c>
      <c r="AC372" s="33"/>
      <c r="AD372" s="50">
        <f t="shared" si="76"/>
        <v>0</v>
      </c>
      <c r="AE372" s="51">
        <f t="shared" si="68"/>
        <v>0</v>
      </c>
      <c r="AF372" s="51">
        <f t="shared" si="69"/>
        <v>0</v>
      </c>
      <c r="AG372" s="52">
        <v>8834</v>
      </c>
      <c r="AH372" s="52">
        <v>8833</v>
      </c>
      <c r="AI372" s="52">
        <v>1</v>
      </c>
      <c r="AJ372" s="53" t="s">
        <v>886</v>
      </c>
    </row>
    <row r="373" spans="1:36" ht="15.75" hidden="1" x14ac:dyDescent="0.25">
      <c r="A373" s="33" t="s">
        <v>887</v>
      </c>
      <c r="B373" s="34">
        <v>8812</v>
      </c>
      <c r="C373" s="34"/>
      <c r="D373" s="85">
        <v>20</v>
      </c>
      <c r="E373" s="36" t="str">
        <f t="shared" si="66"/>
        <v/>
      </c>
      <c r="F373" s="37" t="str">
        <f t="shared" si="67"/>
        <v/>
      </c>
      <c r="G373" s="38">
        <f t="shared" si="70"/>
        <v>0</v>
      </c>
      <c r="H373" s="38">
        <f t="shared" si="70"/>
        <v>0</v>
      </c>
      <c r="I373" s="39">
        <v>0</v>
      </c>
      <c r="J373" s="116">
        <f t="shared" si="77"/>
        <v>0</v>
      </c>
      <c r="K373" s="117">
        <v>0</v>
      </c>
      <c r="L373" s="118">
        <v>0.98599999999999999</v>
      </c>
      <c r="M373" s="39">
        <f t="shared" si="71"/>
        <v>0</v>
      </c>
      <c r="N373" s="116">
        <f t="shared" si="72"/>
        <v>0</v>
      </c>
      <c r="O373" s="43"/>
      <c r="P373" s="119"/>
      <c r="Q373" s="120"/>
      <c r="R373" s="121"/>
      <c r="S373" s="122"/>
      <c r="T373" s="34">
        <f t="shared" si="65"/>
        <v>0</v>
      </c>
      <c r="U373" s="34">
        <f t="shared" si="73"/>
        <v>0</v>
      </c>
      <c r="V373" s="34">
        <f t="shared" si="74"/>
        <v>0</v>
      </c>
      <c r="W373" s="34">
        <f t="shared" si="75"/>
        <v>0</v>
      </c>
      <c r="X373" s="48" t="s">
        <v>854</v>
      </c>
      <c r="Y373" s="48" t="s">
        <v>855</v>
      </c>
      <c r="Z373" s="49" t="s">
        <v>647</v>
      </c>
      <c r="AA373" s="49"/>
      <c r="AB373" s="33" t="s">
        <v>856</v>
      </c>
      <c r="AC373" s="33"/>
      <c r="AD373" s="50">
        <f t="shared" si="76"/>
        <v>0</v>
      </c>
      <c r="AE373" s="51">
        <f t="shared" si="68"/>
        <v>0</v>
      </c>
      <c r="AF373" s="51">
        <f t="shared" si="69"/>
        <v>0</v>
      </c>
      <c r="AG373" s="52">
        <v>8815</v>
      </c>
      <c r="AH373" s="52">
        <v>8812</v>
      </c>
      <c r="AI373" s="52">
        <v>1</v>
      </c>
      <c r="AJ373" s="53" t="s">
        <v>888</v>
      </c>
    </row>
    <row r="374" spans="1:36" ht="15.75" hidden="1" x14ac:dyDescent="0.25">
      <c r="A374" s="33" t="s">
        <v>889</v>
      </c>
      <c r="B374" s="34">
        <v>8823</v>
      </c>
      <c r="C374" s="34"/>
      <c r="D374" s="85">
        <v>47</v>
      </c>
      <c r="E374" s="36" t="str">
        <f t="shared" si="66"/>
        <v/>
      </c>
      <c r="F374" s="37" t="str">
        <f t="shared" si="67"/>
        <v/>
      </c>
      <c r="G374" s="38">
        <f t="shared" si="70"/>
        <v>0</v>
      </c>
      <c r="H374" s="38">
        <f t="shared" si="70"/>
        <v>0</v>
      </c>
      <c r="I374" s="39">
        <v>8.9</v>
      </c>
      <c r="J374" s="116">
        <f t="shared" si="77"/>
        <v>0.18936170212765957</v>
      </c>
      <c r="K374" s="117">
        <v>0</v>
      </c>
      <c r="L374" s="118">
        <v>1.04</v>
      </c>
      <c r="M374" s="39">
        <f t="shared" si="71"/>
        <v>8.9</v>
      </c>
      <c r="N374" s="116">
        <f t="shared" si="72"/>
        <v>0.18936170212765957</v>
      </c>
      <c r="O374" s="43"/>
      <c r="P374" s="119"/>
      <c r="Q374" s="120"/>
      <c r="R374" s="121"/>
      <c r="S374" s="122"/>
      <c r="T374" s="34">
        <f t="shared" si="65"/>
        <v>0</v>
      </c>
      <c r="U374" s="34">
        <f t="shared" si="73"/>
        <v>0</v>
      </c>
      <c r="V374" s="34">
        <f t="shared" si="74"/>
        <v>0</v>
      </c>
      <c r="W374" s="34">
        <f t="shared" si="75"/>
        <v>0</v>
      </c>
      <c r="X374" s="48" t="s">
        <v>854</v>
      </c>
      <c r="Y374" s="48" t="s">
        <v>855</v>
      </c>
      <c r="Z374" s="49" t="s">
        <v>647</v>
      </c>
      <c r="AA374" s="49"/>
      <c r="AB374" s="33" t="s">
        <v>856</v>
      </c>
      <c r="AC374" s="33"/>
      <c r="AD374" s="50">
        <f t="shared" si="76"/>
        <v>0.18936170212765957</v>
      </c>
      <c r="AE374" s="51">
        <f t="shared" si="68"/>
        <v>0</v>
      </c>
      <c r="AF374" s="51">
        <f t="shared" si="69"/>
        <v>0</v>
      </c>
      <c r="AG374" s="52">
        <v>8823</v>
      </c>
      <c r="AH374" s="52">
        <v>8832</v>
      </c>
      <c r="AI374" s="52">
        <v>1</v>
      </c>
      <c r="AJ374" s="53" t="s">
        <v>890</v>
      </c>
    </row>
    <row r="375" spans="1:36" ht="15.75" hidden="1" x14ac:dyDescent="0.25">
      <c r="A375" s="33" t="s">
        <v>891</v>
      </c>
      <c r="B375" s="34">
        <v>8830</v>
      </c>
      <c r="C375" s="34"/>
      <c r="D375" s="85">
        <v>46</v>
      </c>
      <c r="E375" s="36" t="str">
        <f t="shared" si="66"/>
        <v/>
      </c>
      <c r="F375" s="37" t="str">
        <f t="shared" si="67"/>
        <v/>
      </c>
      <c r="G375" s="38">
        <f t="shared" si="70"/>
        <v>0</v>
      </c>
      <c r="H375" s="38">
        <f t="shared" si="70"/>
        <v>0</v>
      </c>
      <c r="I375" s="39">
        <v>22.8</v>
      </c>
      <c r="J375" s="116">
        <f t="shared" si="77"/>
        <v>0.4956521739130435</v>
      </c>
      <c r="K375" s="117">
        <v>0</v>
      </c>
      <c r="L375" s="118">
        <v>0.98199999999999998</v>
      </c>
      <c r="M375" s="39">
        <f t="shared" si="71"/>
        <v>22.8</v>
      </c>
      <c r="N375" s="116">
        <f t="shared" si="72"/>
        <v>0.4956521739130435</v>
      </c>
      <c r="O375" s="43"/>
      <c r="P375" s="119"/>
      <c r="Q375" s="120"/>
      <c r="R375" s="121"/>
      <c r="S375" s="122"/>
      <c r="T375" s="34">
        <f t="shared" si="65"/>
        <v>0</v>
      </c>
      <c r="U375" s="34">
        <f t="shared" si="73"/>
        <v>0</v>
      </c>
      <c r="V375" s="34">
        <f t="shared" si="74"/>
        <v>0</v>
      </c>
      <c r="W375" s="34">
        <f t="shared" si="75"/>
        <v>0</v>
      </c>
      <c r="X375" s="48" t="s">
        <v>854</v>
      </c>
      <c r="Y375" s="48" t="s">
        <v>855</v>
      </c>
      <c r="Z375" s="49" t="s">
        <v>647</v>
      </c>
      <c r="AA375" s="49"/>
      <c r="AB375" s="33" t="s">
        <v>856</v>
      </c>
      <c r="AC375" s="33"/>
      <c r="AD375" s="50">
        <f t="shared" si="76"/>
        <v>0.4956521739130435</v>
      </c>
      <c r="AE375" s="51">
        <f t="shared" si="68"/>
        <v>0</v>
      </c>
      <c r="AF375" s="51">
        <f t="shared" si="69"/>
        <v>0</v>
      </c>
      <c r="AG375" s="52">
        <v>8830</v>
      </c>
      <c r="AH375" s="52">
        <v>8831</v>
      </c>
      <c r="AI375" s="52">
        <v>1</v>
      </c>
      <c r="AJ375" s="53" t="s">
        <v>892</v>
      </c>
    </row>
  </sheetData>
  <autoFilter ref="A4:AJ375" xr:uid="{5EE1E149-B0E5-4E22-B0F1-048124EB0D7E}">
    <filterColumn colId="23">
      <filters>
        <filter val="SP"/>
      </filters>
    </filterColumn>
  </autoFilter>
  <mergeCells count="28">
    <mergeCell ref="AB1:AB3"/>
    <mergeCell ref="AC1:AC3"/>
    <mergeCell ref="AD1:AD3"/>
    <mergeCell ref="AE1:AE3"/>
    <mergeCell ref="AF1:AF3"/>
    <mergeCell ref="AG1:AJ1"/>
    <mergeCell ref="AG2:AH2"/>
    <mergeCell ref="AI2:AI3"/>
    <mergeCell ref="AJ2:AJ3"/>
    <mergeCell ref="V1:V3"/>
    <mergeCell ref="W1:W3"/>
    <mergeCell ref="X1:X3"/>
    <mergeCell ref="Y1:Y3"/>
    <mergeCell ref="Z1:Z3"/>
    <mergeCell ref="AA1:AA3"/>
    <mergeCell ref="H1:H3"/>
    <mergeCell ref="I1:L2"/>
    <mergeCell ref="M1:N2"/>
    <mergeCell ref="O1:S2"/>
    <mergeCell ref="T1:T3"/>
    <mergeCell ref="U1:U3"/>
    <mergeCell ref="A1:A3"/>
    <mergeCell ref="B1:B3"/>
    <mergeCell ref="D1:D3"/>
    <mergeCell ref="E1:E3"/>
    <mergeCell ref="F1:F3"/>
    <mergeCell ref="G1:G3"/>
    <mergeCell ref="C1:C3"/>
  </mergeCells>
  <conditionalFormatting sqref="R5:R375">
    <cfRule type="expression" dxfId="22" priority="1">
      <formula>AND(ISNUMBER($R5),$R5&gt;$T5)</formula>
    </cfRule>
  </conditionalFormatting>
  <conditionalFormatting sqref="U5:U375">
    <cfRule type="expression" dxfId="21" priority="2">
      <formula>AND(ISNUMBER($R5),$R5&gt;$T5)</formula>
    </cfRule>
  </conditionalFormatting>
  <conditionalFormatting sqref="M5:N375">
    <cfRule type="expression" dxfId="20" priority="3">
      <formula>IFERROR(IF(OR(AND($AV5&lt;&gt;0,$V5&lt;$AV5),AND($M5&lt;&gt;0,$M5&lt;$V5*$AW5),AND($Q5&lt;&gt;"",$Q5=0,$M5&gt;0)),TRUE,FALSE),FALSE)</formula>
    </cfRule>
    <cfRule type="expression" dxfId="19" priority="4">
      <formula>$M5/$V5&gt;0.98*$F5</formula>
    </cfRule>
    <cfRule type="expression" dxfId="18" priority="5">
      <formula>$N5&gt;1</formula>
    </cfRule>
  </conditionalFormatting>
  <conditionalFormatting sqref="M5:M375">
    <cfRule type="expression" dxfId="17" priority="6">
      <formula>$M5&lt;&gt;$I5</formula>
    </cfRule>
    <cfRule type="expression" dxfId="16" priority="7">
      <formula>$M5=$I5</formula>
    </cfRule>
  </conditionalFormatting>
  <conditionalFormatting sqref="K5:K375">
    <cfRule type="expression" dxfId="15" priority="8">
      <formula>IF($K5&lt;0,$K5&lt;($V5*$G5),$K5&gt;($V5*$H5))</formula>
    </cfRule>
  </conditionalFormatting>
  <conditionalFormatting sqref="L5:L375">
    <cfRule type="expression" dxfId="14" priority="9">
      <formula>$L5&gt;1.05</formula>
    </cfRule>
    <cfRule type="expression" dxfId="13" priority="10">
      <formula>$L5&lt;0.95</formula>
    </cfRule>
  </conditionalFormatting>
  <conditionalFormatting sqref="A5:AJ375">
    <cfRule type="expression" dxfId="12" priority="11" stopIfTrue="1">
      <formula>$AA5=""</formula>
    </cfRule>
    <cfRule type="expression" dxfId="11" priority="12" stopIfTrue="1">
      <formula>$AB5="Bacia do Grande"</formula>
    </cfRule>
    <cfRule type="expression" dxfId="10" priority="13" stopIfTrue="1">
      <formula>$AB5="Bacia do Paranaíba"</formula>
    </cfRule>
    <cfRule type="expression" dxfId="9" priority="14" stopIfTrue="1">
      <formula>OR($AB5="Bacia do Paraná",$AB5="Bacia do Paranapanema")</formula>
    </cfRule>
    <cfRule type="expression" dxfId="8" priority="15" stopIfTrue="1">
      <formula>$AB5="Bacia do Paraná - Itaipu"</formula>
    </cfRule>
    <cfRule type="expression" dxfId="7" priority="16" stopIfTrue="1">
      <formula>$Y5="NE"</formula>
    </cfRule>
    <cfRule type="expression" dxfId="6" priority="17" stopIfTrue="1">
      <formula>$AB5="Rio Tocantins"</formula>
    </cfRule>
    <cfRule type="expression" dxfId="5" priority="18" stopIfTrue="1">
      <formula>$AA5="Rio Tocantins"</formula>
    </cfRule>
    <cfRule type="expression" dxfId="4" priority="19" stopIfTrue="1">
      <formula>$AB5="Bacia do Amazonas"</formula>
    </cfRule>
    <cfRule type="expression" dxfId="3" priority="20" stopIfTrue="1">
      <formula>$AB5="Bacia do Paraguai"</formula>
    </cfRule>
    <cfRule type="expression" dxfId="2" priority="21" stopIfTrue="1">
      <formula>$AB5="Bacia do Iguaçu"</formula>
    </cfRule>
    <cfRule type="expression" dxfId="1" priority="22" stopIfTrue="1">
      <formula>$AB5="Rio Uruguai"</formula>
    </cfRule>
    <cfRule type="expression" dxfId="0" priority="23" stopIfTrue="1">
      <formula>OR($AB5="Rio Jacuí",$AB5="Rio Capivari",$AB5="Rio Itajaí")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Victor Rodrigues Veras</dc:creator>
  <cp:lastModifiedBy>Pedro Victor Rodrigues Veras</cp:lastModifiedBy>
  <dcterms:created xsi:type="dcterms:W3CDTF">2026-03-24T13:55:47Z</dcterms:created>
  <dcterms:modified xsi:type="dcterms:W3CDTF">2026-03-24T14:42:06Z</dcterms:modified>
</cp:coreProperties>
</file>