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6780"/>
  </bookViews>
  <sheets>
    <sheet name="Consumo Lu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<sst xmlns="http://schemas.openxmlformats.org/spreadsheetml/2006/main" count="34" uniqueCount="21">
  <si>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Niteroi - ENEL</t>
  </si>
  <si>
    <t>Campo Grande - Light</t>
  </si>
  <si>
    <t>Consumo(KWH)</t>
  </si>
  <si>
    <t>Data</t>
  </si>
  <si>
    <t>Preco/KWH</t>
  </si>
  <si>
    <t>Total</t>
  </si>
  <si>
    <t>estacao do ano</t>
  </si>
  <si>
    <t>Preco Tributo</t>
  </si>
  <si>
    <t>Preco Real</t>
  </si>
  <si>
    <t>Taxa Acerto</t>
  </si>
  <si>
    <t>inverno</t>
  </si>
  <si>
    <t>verao</t>
  </si>
  <si>
    <t>outono</t>
  </si>
  <si>
    <t>primavera</t>
  </si>
  <si>
    <t>cobranca_adicional</t>
  </si>
  <si>
    <t>iluminacao_publica</t>
  </si>
  <si>
    <t>preco_tributo</t>
  </si>
  <si>
    <t>aliquota</t>
  </si>
  <si>
    <t>confis</t>
  </si>
  <si>
    <t>tarifa KWH</t>
  </si>
  <si>
    <t>tributo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</si>
</sst>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);[Red]\(0.00\)"/>
  </numFmts>
  <fonts count="22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80" fontId="1" fillId="0" borderId="0" xfId="3" applyNumberFormat="1" applyFont="1">
      <alignment vertical="center"/>
    </xf>
    <xf numFmtId="9" fontId="0" fillId="0" borderId="0" xfId="3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0" fillId="0" borderId="1" xfId="3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tabSelected="1" topLeftCell="A2" workbookViewId="0">
      <selection activeCell="G12" sqref="G12"/>
    </sheetView>
  </sheetViews>
  <sheetFormatPr defaultColWidth="9.14285714285714" defaultRowHeight="12.75"/>
  <cols>
    <col min="1" max="1" width="15.2857142857143" customWidth="1"/>
    <col min="3" max="3" width="12.7142857142857" customWidth="1"/>
    <col min="4" max="5" width="14.7142857142857" customWidth="1"/>
    <col min="6" max="6" width="4.71428571428571" customWidth="1"/>
    <col min="7" max="7" width="18.4285714285714" customWidth="1"/>
    <col min="8" max="8" width="9.57142857142857"/>
    <col min="9" max="9" width="4" customWidth="1"/>
    <col min="10" max="10" width="15.2857142857143" customWidth="1"/>
    <col min="12" max="12" width="12.8571428571429"/>
    <col min="13" max="13" width="14.2857142857143" customWidth="1"/>
    <col min="14" max="14" width="8" customWidth="1"/>
    <col min="15" max="15" width="10.7142857142857" customWidth="1"/>
    <col min="16" max="16" width="13.4285714285714" customWidth="1"/>
    <col min="17" max="17" width="16.5714285714286" customWidth="1"/>
  </cols>
  <sheetData>
    <row r="1" spans="1:17">
      <c r="A1" s="1" t="s">
        <v>0</v>
      </c>
      <c r="B1" s="1"/>
      <c r="C1" s="1"/>
      <c r="D1" s="1"/>
      <c r="E1" s="1"/>
      <c r="J1" s="9" t="s">
        <v>1</v>
      </c>
      <c r="K1" s="9"/>
      <c r="L1" s="9"/>
      <c r="M1" s="9"/>
      <c r="N1" s="9"/>
      <c r="O1" s="9"/>
      <c r="P1" s="9"/>
      <c r="Q1" s="9"/>
    </row>
    <row r="2" spans="1:17">
      <c r="A2" s="2" t="s">
        <v>2</v>
      </c>
      <c r="B2" s="2" t="s">
        <v>3</v>
      </c>
      <c r="C2" s="3" t="s">
        <v>4</v>
      </c>
      <c r="D2" s="2" t="s">
        <v>5</v>
      </c>
      <c r="E2" s="2" t="s">
        <v>6</v>
      </c>
      <c r="J2" s="14" t="s">
        <v>2</v>
      </c>
      <c r="K2" s="14" t="s">
        <v>3</v>
      </c>
      <c r="L2" s="14" t="s">
        <v>4</v>
      </c>
      <c r="M2" s="14" t="s">
        <v>7</v>
      </c>
      <c r="N2" s="14" t="s">
        <v>5</v>
      </c>
      <c r="O2" s="14" t="s">
        <v>8</v>
      </c>
      <c r="P2" s="14" t="s">
        <v>9</v>
      </c>
      <c r="Q2" s="14" t="s">
        <v>6</v>
      </c>
    </row>
    <row r="3" spans="1:17">
      <c r="A3" s="4">
        <v>380</v>
      </c>
      <c r="B3" s="5">
        <v>45139</v>
      </c>
      <c r="C3" s="6">
        <f>A3*D8</f>
        <v>0</v>
      </c>
      <c r="D3" s="4"/>
      <c r="E3" s="4" t="s">
        <v>10</v>
      </c>
      <c r="F3" s="9"/>
      <c r="G3" s="9"/>
      <c r="J3" s="15">
        <v>669</v>
      </c>
      <c r="K3" s="16">
        <v>45352</v>
      </c>
      <c r="L3" s="15"/>
      <c r="M3" s="15"/>
      <c r="N3" s="15"/>
      <c r="O3" s="15"/>
      <c r="P3" s="18"/>
      <c r="Q3" s="15"/>
    </row>
    <row r="4" spans="1:17">
      <c r="A4" s="4">
        <v>440</v>
      </c>
      <c r="B4" s="5">
        <v>45170</v>
      </c>
      <c r="C4" s="6"/>
      <c r="D4" s="4"/>
      <c r="E4" s="4" t="s">
        <v>10</v>
      </c>
      <c r="F4" s="9"/>
      <c r="G4" s="9"/>
      <c r="J4" s="15">
        <v>494</v>
      </c>
      <c r="K4" s="16">
        <v>45383</v>
      </c>
      <c r="L4" s="15"/>
      <c r="M4" s="15"/>
      <c r="N4" s="15"/>
      <c r="O4" s="15"/>
      <c r="P4" s="18"/>
      <c r="Q4" s="15"/>
    </row>
    <row r="5" spans="1:17">
      <c r="A5" s="4">
        <v>560</v>
      </c>
      <c r="B5" s="5">
        <v>45200</v>
      </c>
      <c r="C5" s="6"/>
      <c r="D5" s="4"/>
      <c r="E5" s="4" t="s">
        <v>10</v>
      </c>
      <c r="F5" s="9"/>
      <c r="G5" s="9"/>
      <c r="J5" s="15">
        <v>413</v>
      </c>
      <c r="K5" s="16">
        <v>45413</v>
      </c>
      <c r="L5" s="15"/>
      <c r="M5" s="15"/>
      <c r="N5" s="15"/>
      <c r="O5" s="15"/>
      <c r="P5" s="18"/>
      <c r="Q5" s="15"/>
    </row>
    <row r="6" spans="1:17">
      <c r="A6" s="4">
        <v>540</v>
      </c>
      <c r="B6" s="5">
        <v>45231</v>
      </c>
      <c r="C6" s="6"/>
      <c r="D6" s="4"/>
      <c r="E6" s="4" t="s">
        <v>10</v>
      </c>
      <c r="F6" s="9"/>
      <c r="G6" s="9"/>
      <c r="J6" s="15">
        <v>453</v>
      </c>
      <c r="K6" s="16">
        <v>45444</v>
      </c>
      <c r="L6" s="15"/>
      <c r="M6" s="15"/>
      <c r="N6" s="15"/>
      <c r="O6" s="15"/>
      <c r="P6" s="18"/>
      <c r="Q6" s="15"/>
    </row>
    <row r="7" spans="1:17">
      <c r="A7" s="4">
        <v>690</v>
      </c>
      <c r="B7" s="5">
        <v>45261</v>
      </c>
      <c r="C7" s="6"/>
      <c r="D7" s="7"/>
      <c r="E7" s="7" t="s">
        <v>11</v>
      </c>
      <c r="F7" s="9"/>
      <c r="G7" s="9"/>
      <c r="J7" s="15">
        <v>311</v>
      </c>
      <c r="K7" s="16">
        <v>45474</v>
      </c>
      <c r="L7" s="15"/>
      <c r="M7" s="15"/>
      <c r="N7" s="15"/>
      <c r="O7" s="15"/>
      <c r="P7" s="18"/>
      <c r="Q7" s="15"/>
    </row>
    <row r="8" spans="1:17">
      <c r="A8" s="4">
        <v>590</v>
      </c>
      <c r="B8" s="5">
        <v>45297</v>
      </c>
      <c r="C8" s="6"/>
      <c r="D8" s="7"/>
      <c r="E8" s="7" t="s">
        <v>11</v>
      </c>
      <c r="F8" s="9"/>
      <c r="G8" s="9"/>
      <c r="J8" s="15">
        <v>369</v>
      </c>
      <c r="K8" s="16">
        <v>45505</v>
      </c>
      <c r="L8" s="15"/>
      <c r="M8" s="15"/>
      <c r="N8" s="15"/>
      <c r="O8" s="15"/>
      <c r="P8" s="18"/>
      <c r="Q8" s="15"/>
    </row>
    <row r="9" spans="1:17">
      <c r="A9" s="4">
        <v>560</v>
      </c>
      <c r="B9" s="5">
        <v>45329</v>
      </c>
      <c r="C9" s="6"/>
      <c r="D9" s="7"/>
      <c r="E9" s="7" t="s">
        <v>11</v>
      </c>
      <c r="F9" s="9"/>
      <c r="G9" s="9"/>
      <c r="J9" s="15">
        <v>360</v>
      </c>
      <c r="K9" s="16">
        <v>45536</v>
      </c>
      <c r="L9" s="15"/>
      <c r="M9" s="15"/>
      <c r="N9" s="15"/>
      <c r="O9" s="15"/>
      <c r="P9" s="18"/>
      <c r="Q9" s="15"/>
    </row>
    <row r="10" spans="1:17">
      <c r="A10" s="4">
        <v>640</v>
      </c>
      <c r="B10" s="5">
        <v>45359</v>
      </c>
      <c r="C10" s="6"/>
      <c r="D10" s="4"/>
      <c r="E10" s="4" t="s">
        <v>12</v>
      </c>
      <c r="F10" s="9"/>
      <c r="G10" s="9"/>
      <c r="J10" s="15">
        <v>462</v>
      </c>
      <c r="K10" s="16">
        <v>45566</v>
      </c>
      <c r="L10" s="15"/>
      <c r="M10" s="15"/>
      <c r="N10" s="15"/>
      <c r="O10" s="15"/>
      <c r="P10" s="18"/>
      <c r="Q10" s="15"/>
    </row>
    <row r="11" spans="1:17">
      <c r="A11" s="4">
        <v>560</v>
      </c>
      <c r="B11" s="5">
        <v>45391</v>
      </c>
      <c r="C11" s="6"/>
      <c r="D11" s="4"/>
      <c r="E11" s="4" t="s">
        <v>12</v>
      </c>
      <c r="F11" s="9"/>
      <c r="G11" s="9"/>
      <c r="J11" s="15">
        <v>388</v>
      </c>
      <c r="K11" s="16">
        <v>45597</v>
      </c>
      <c r="L11" s="15"/>
      <c r="M11" s="15"/>
      <c r="N11" s="15"/>
      <c r="O11" s="15"/>
      <c r="P11" s="18"/>
      <c r="Q11" s="15"/>
    </row>
    <row r="12" spans="1:17">
      <c r="A12" s="4">
        <v>640</v>
      </c>
      <c r="B12" s="5">
        <v>45422</v>
      </c>
      <c r="C12" s="6"/>
      <c r="D12" s="4"/>
      <c r="E12" s="4" t="s">
        <v>13</v>
      </c>
      <c r="F12" s="9"/>
      <c r="G12" s="9"/>
      <c r="J12" s="15">
        <v>554</v>
      </c>
      <c r="K12" s="16">
        <v>45627</v>
      </c>
      <c r="L12" s="15"/>
      <c r="M12" s="15"/>
      <c r="N12" s="15"/>
      <c r="O12" s="15"/>
      <c r="P12" s="18"/>
      <c r="Q12" s="15"/>
    </row>
    <row r="13" spans="1:17">
      <c r="A13" s="4">
        <v>590</v>
      </c>
      <c r="B13" s="5">
        <v>45444</v>
      </c>
      <c r="C13" s="6"/>
      <c r="D13" s="4"/>
      <c r="E13" s="4" t="s">
        <v>13</v>
      </c>
      <c r="F13" s="9"/>
      <c r="G13" s="9"/>
      <c r="J13" s="15">
        <v>617</v>
      </c>
      <c r="K13" s="16">
        <v>45658</v>
      </c>
      <c r="L13" s="15"/>
      <c r="M13" s="15"/>
      <c r="N13" s="15"/>
      <c r="O13" s="15"/>
      <c r="P13" s="18"/>
      <c r="Q13" s="15"/>
    </row>
    <row r="14" spans="1:17">
      <c r="A14" s="4">
        <v>670</v>
      </c>
      <c r="B14" s="5">
        <v>45474</v>
      </c>
      <c r="C14" s="6"/>
      <c r="D14" s="4"/>
      <c r="E14" s="4" t="s">
        <v>10</v>
      </c>
      <c r="F14" s="9"/>
      <c r="G14" s="9"/>
      <c r="J14" s="15">
        <v>598</v>
      </c>
      <c r="K14" s="16">
        <v>45689</v>
      </c>
      <c r="L14" s="15"/>
      <c r="M14" s="15"/>
      <c r="N14" s="15"/>
      <c r="O14" s="15"/>
      <c r="P14" s="18"/>
      <c r="Q14" s="15"/>
    </row>
    <row r="15" spans="2:17">
      <c r="B15" s="8"/>
      <c r="C15" s="8"/>
      <c r="J15" s="17">
        <v>968</v>
      </c>
      <c r="K15" s="16">
        <v>45717</v>
      </c>
      <c r="L15" s="15">
        <f>J15*H23</f>
        <v>814.79464</v>
      </c>
      <c r="M15" s="15">
        <f>H20*J15</f>
        <v>1142.24</v>
      </c>
      <c r="N15" s="15">
        <f>H18+H19+M15</f>
        <v>1226.46</v>
      </c>
      <c r="O15" s="17">
        <v>1228.81</v>
      </c>
      <c r="P15" s="18">
        <f>(O15-N15)</f>
        <v>2.34999999999991</v>
      </c>
      <c r="Q15" s="15"/>
    </row>
    <row r="16" spans="10:10">
      <c r="J16" s="8"/>
    </row>
    <row r="18" spans="6:8">
      <c r="F18" s="10"/>
      <c r="G18" s="10" t="s">
        <v>14</v>
      </c>
      <c r="H18" s="11">
        <v>50</v>
      </c>
    </row>
    <row r="19" spans="6:8">
      <c r="F19" s="10"/>
      <c r="G19" s="10" t="s">
        <v>15</v>
      </c>
      <c r="H19" s="11">
        <v>34.22</v>
      </c>
    </row>
    <row r="20" spans="6:8">
      <c r="F20" s="10"/>
      <c r="G20" s="10" t="s">
        <v>16</v>
      </c>
      <c r="H20" s="12">
        <f>1.18</f>
        <v>1.18</v>
      </c>
    </row>
    <row r="21" spans="7:8">
      <c r="G21" t="s">
        <v>17</v>
      </c>
      <c r="H21">
        <v>24</v>
      </c>
    </row>
    <row r="22" spans="7:8">
      <c r="G22" t="s">
        <v>18</v>
      </c>
      <c r="H22">
        <v>55</v>
      </c>
    </row>
    <row r="23" spans="6:8">
      <c r="F23" s="10"/>
      <c r="G23" s="10" t="s">
        <v>19</v>
      </c>
      <c r="H23" s="11">
        <v>0.84173</v>
      </c>
    </row>
    <row r="24" spans="7:8">
      <c r="G24" t="s">
        <v>20</v>
      </c>
      <c r="H24" s="13">
        <f>6/100</f>
        <v>0.06</v>
      </c>
    </row>
  </sheetData>
  <mergeCells count="2">
    <mergeCell ref="A1:E1"/>
    <mergeCell ref="J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Consumo Luz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pedrov</dc:creator>
  <cp:lastModifiedBy>pedrov12</cp:lastModifiedBy>
  <dcterms:created xsi:type="dcterms:W3CDTF">2024-06-20T15:29:00Z</dcterms:created>
  <dcterms:modified xsi:type="dcterms:W3CDTF">2025-03-09T01:12:13Z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1033-12.8.2.20327</vt:lpwstr>
  </property>
</Properties>
</file>